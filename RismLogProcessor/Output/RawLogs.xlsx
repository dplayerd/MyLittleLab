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sult" sheetId="1" r:id="rId3"/>
    <sheet name="Summary" sheetId="2" r:id="rId4"/>
    <sheet name="SourceLog" sheetId="3" r:id="rId5"/>
    <sheet name="Only89" sheetId="4" r:id="rId6"/>
    <sheet name="Only76" sheetId="5" r:id="rId7"/>
    <sheet name="OnlyF6" sheetId="6" r:id="rId8"/>
    <sheet name="Only80" sheetId="7" r:id="rId9"/>
  </sheets>
</workbook>
</file>

<file path=xl/sharedStrings.xml><?xml version="1.0" encoding="utf-8"?>
<sst xmlns="http://schemas.openxmlformats.org/spreadsheetml/2006/main" count="2544" uniqueCount="349">
  <si>
    <t xml:space="preserve"/>
  </si>
  <si>
    <t xml:space="preserve">Altob Send 89</t>
  </si>
  <si>
    <t xml:space="preserve">Hidden</t>
  </si>
  <si>
    <t xml:space="preserve">Altob Receive 76</t>
  </si>
  <si>
    <t xml:space="preserve">Altob Reply f6</t>
  </si>
  <si>
    <t xml:space="preserve">Duration</t>
  </si>
  <si>
    <t xml:space="preserve">Label</t>
  </si>
  <si>
    <t xml:space="preserve">DbId</t>
  </si>
  <si>
    <t xml:space="preserve">SeqNo</t>
  </si>
  <si>
    <t xml:space="preserve">Attempt</t>
  </si>
  <si>
    <t xml:space="preserve">Payload</t>
  </si>
  <si>
    <t xml:space="preserve">MachineNo</t>
  </si>
  <si>
    <t xml:space="preserve">CardNo</t>
  </si>
  <si>
    <t xml:space="preserve">Effect</t>
  </si>
  <si>
    <t xml:space="preserve">Send Time</t>
  </si>
  <si>
    <t xml:space="preserve">Count</t>
  </si>
  <si>
    <t xml:space="preserve">Receive Time</t>
  </si>
  <si>
    <t xml:space="preserve">Seconds</t>
  </si>
  <si>
    <t xml:space="preserve">Range</t>
  </si>
  <si>
    <t xml:space="preserve">20260120_RismHost_10sec</t>
  </si>
  <si>
    <t xml:space="preserve">b0d11338-feb0-4301-8d7d-e8e475b5be13</t>
  </si>
  <si>
    <t xml:space="preserve">8901690004002700496327042601201019000001   </t>
  </si>
  <si>
    <t xml:space="preserve">7601026900040027004963270426012010190 </t>
  </si>
  <si>
    <t xml:space="preserve">f60001</t>
  </si>
  <si>
    <t xml:space="preserve">78726eb8-c4a0-43d5-bfb2-95059b4cf08e</t>
  </si>
  <si>
    <t xml:space="preserve">890251330400682001  25112601201021000001   </t>
  </si>
  <si>
    <t xml:space="preserve">76020251330400682001  251126012010210 </t>
  </si>
  <si>
    <t xml:space="preserve">f60002</t>
  </si>
  <si>
    <t xml:space="preserve">72c3d560-cb94-47b4-a7c0-22b8a0912a14</t>
  </si>
  <si>
    <t xml:space="preserve">8903364310229999999628042601201023000001   </t>
  </si>
  <si>
    <t xml:space="preserve">7603023643102299999996280426012010230 </t>
  </si>
  <si>
    <t xml:space="preserve">f60003</t>
  </si>
  <si>
    <t xml:space="preserve">2275886c-85ad-4575-9ebe-49252cb0d850</t>
  </si>
  <si>
    <t xml:space="preserve">8904690004002700496327042601201024000001   </t>
  </si>
  <si>
    <t xml:space="preserve">7604026900040027004963270426012010240 </t>
  </si>
  <si>
    <t xml:space="preserve">d8df9d72-1488-4c4f-8633-73bc31f227d8</t>
  </si>
  <si>
    <t xml:space="preserve">890551330400682001  25112601201025000001   </t>
  </si>
  <si>
    <t xml:space="preserve">76050251330400682001  251126012010250 </t>
  </si>
  <si>
    <t xml:space="preserve">f60004</t>
  </si>
  <si>
    <t xml:space="preserve">20260120_RismHost_60sec</t>
  </si>
  <si>
    <t xml:space="preserve">7bca24f7-07b5-4b93-b487-08c559fe2da6</t>
  </si>
  <si>
    <t xml:space="preserve">8901690004002700496327042601201045000001   </t>
  </si>
  <si>
    <t xml:space="preserve">7601026900040027004963270426012010450 </t>
  </si>
  <si>
    <t xml:space="preserve">29b6cf13-2b7c-4858-a810-ea42a078bb72</t>
  </si>
  <si>
    <t xml:space="preserve">890251330400682001  25112601201046000001   </t>
  </si>
  <si>
    <t xml:space="preserve">76020251330400682001  251126012010460 </t>
  </si>
  <si>
    <t xml:space="preserve">d436ebd6-cbaa-4e7a-989f-097ad11dad95</t>
  </si>
  <si>
    <t xml:space="preserve">8903364310229999999628042601201048000001   </t>
  </si>
  <si>
    <t xml:space="preserve">7603023643102299999996280426012010480 </t>
  </si>
  <si>
    <t xml:space="preserve">eeffc155-7a32-4dde-a790-d58bb0226305</t>
  </si>
  <si>
    <t xml:space="preserve">8904690004002700496327042601201050000001   </t>
  </si>
  <si>
    <t xml:space="preserve">7604026900040027004963270426012010500 </t>
  </si>
  <si>
    <t xml:space="preserve">811d6ad5-2508-45ff-a13f-7accd95a600b</t>
  </si>
  <si>
    <t xml:space="preserve">890551330400682001  25112601201052000001   </t>
  </si>
  <si>
    <t xml:space="preserve">76050251330400682001  251126012010520 </t>
  </si>
  <si>
    <t xml:space="preserve">f60005</t>
  </si>
  <si>
    <t xml:space="preserve">Counting</t>
  </si>
  <si>
    <t xml:space="preserve">Avg</t>
  </si>
  <si>
    <t xml:space="preserve">Min</t>
  </si>
  <si>
    <t xml:space="preserve">Max</t>
  </si>
  <si>
    <t xml:space="preserve">060~090</t>
  </si>
  <si>
    <t xml:space="preserve">090~120</t>
  </si>
  <si>
    <t xml:space="preserve">150~180</t>
  </si>
  <si>
    <t xml:space="preserve">210~240</t>
  </si>
  <si>
    <t xml:space="preserve">Subtotal</t>
  </si>
  <si>
    <t xml:space="preserve">000~030</t>
  </si>
  <si>
    <t xml:space="preserve">Grand Total</t>
  </si>
  <si>
    <t xml:space="preserve">Time</t>
  </si>
  <si>
    <t xml:space="preserve">Direction</t>
  </si>
  <si>
    <t xml:space="preserve">TraceCode</t>
  </si>
  <si>
    <t xml:space="preserve">CmdNo</t>
  </si>
  <si>
    <t xml:space="preserve">MaxRetry</t>
  </si>
  <si>
    <t xml:space="preserve">HeaderHex</t>
  </si>
  <si>
    <t xml:space="preserve">PayloadPrefix</t>
  </si>
  <si>
    <t xml:space="preserve">SendTimeToken</t>
  </si>
  <si>
    <t xml:space="preserve">MatchKey</t>
  </si>
  <si>
    <t xml:space="preserve">2026-01-20 10:19:48.407</t>
  </si>
  <si>
    <t xml:space="preserve">TX</t>
  </si>
  <si>
    <t xml:space="preserve">13f555ae-cc36-4455-915c-80968d5eac74</t>
  </si>
  <si>
    <t xml:space="preserve">1</t>
  </si>
  <si>
    <t xml:space="preserve">C5 6D 00 00 2B 00 E7 66 01 01 01 00</t>
  </si>
  <si>
    <t xml:space="preserve">89</t>
  </si>
  <si>
    <t xml:space="preserve">01</t>
  </si>
  <si>
    <t xml:space="preserve">6900040027004963</t>
  </si>
  <si>
    <t xml:space="preserve">2704</t>
  </si>
  <si>
    <t xml:space="preserve">2601201019</t>
  </si>
  <si>
    <t xml:space="preserve">01|6900040027004963|2704|2601201019</t>
  </si>
  <si>
    <t xml:space="preserve">2026-01-20 10:19:49.719</t>
  </si>
  <si>
    <t xml:space="preserve">RX</t>
  </si>
  <si>
    <t xml:space="preserve">17a0a207-21f3-468b-bef6-c265a0dcd13d</t>
  </si>
  <si>
    <t xml:space="preserve">0</t>
  </si>
  <si>
    <t xml:space="preserve">00 00 C5 6D 02 00 E7 46 01 00 01 00</t>
  </si>
  <si>
    <t xml:space="preserve">OK</t>
  </si>
  <si>
    <t xml:space="preserve">2026-01-20 10:19:53.714</t>
  </si>
  <si>
    <t xml:space="preserve">728966c2-202a-4a9e-beaf-b85f0186bd2c</t>
  </si>
  <si>
    <t xml:space="preserve">00 00 C5 6D 02 00 E8 46 01 00 00 00</t>
  </si>
  <si>
    <t xml:space="preserve">2026-01-20 10:20:55.049</t>
  </si>
  <si>
    <t xml:space="preserve">0948e5bf-6bcf-4211-ab89-6cd304d57e12</t>
  </si>
  <si>
    <t xml:space="preserve">1175</t>
  </si>
  <si>
    <t xml:space="preserve">00 00 C5 6D 26 00 C7 C4 01 01 97 04</t>
  </si>
  <si>
    <t xml:space="preserve">76</t>
  </si>
  <si>
    <t xml:space="preserve">2026-01-20 10:20:55.096</t>
  </si>
  <si>
    <t xml:space="preserve">00 00 C5 6D 06 00 D5 F5 01 00 97 04</t>
  </si>
  <si>
    <t xml:space="preserve">f6</t>
  </si>
  <si>
    <t xml:space="preserve">2026-01-20 10:20:55.103</t>
  </si>
  <si>
    <t xml:space="preserve">6bba3c66-ead4-4136-a961-6a41d103a12e</t>
  </si>
  <si>
    <t xml:space="preserve">201</t>
  </si>
  <si>
    <t xml:space="preserve">73590ed2-942c-432d-91ad-24a921951157</t>
  </si>
  <si>
    <t xml:space="preserve">C5 6D 00 00 80 00 F7 CB 01 01 C9 00</t>
  </si>
  <si>
    <t xml:space="preserve">80B2260120072026012010000555000500000500RZA   Z10050                                                    000069000400270049630201</t>
  </si>
  <si>
    <t xml:space="preserve">80</t>
  </si>
  <si>
    <t xml:space="preserve">2026-01-20 10:20:55.768</t>
  </si>
  <si>
    <t xml:space="preserve">a0cb9623-c39a-4fc1-a5a2-abd01e972fde</t>
  </si>
  <si>
    <t xml:space="preserve">00 00 C5 6D 02 00 1F 46 01 00 C9 00</t>
  </si>
  <si>
    <t xml:space="preserve">2026-01-20 10:20:55.772</t>
  </si>
  <si>
    <t xml:space="preserve">2026-01-20 10:21:05.777</t>
  </si>
  <si>
    <t xml:space="preserve">1285d84e-8467-4d62-8b5a-bb919558aa32</t>
  </si>
  <si>
    <t xml:space="preserve">2</t>
  </si>
  <si>
    <t xml:space="preserve">C5 6D 00 00 2B 00 F7 91 01 01 01 00</t>
  </si>
  <si>
    <t xml:space="preserve">02</t>
  </si>
  <si>
    <t xml:space="preserve">51330400682001  </t>
  </si>
  <si>
    <t xml:space="preserve">2511</t>
  </si>
  <si>
    <t xml:space="preserve">2601201021</t>
  </si>
  <si>
    <t xml:space="preserve">02|51330400682001  |2511|2601201021</t>
  </si>
  <si>
    <t xml:space="preserve">2026-01-20 10:21:06.768</t>
  </si>
  <si>
    <t xml:space="preserve">2e6fa1d2-8581-4d57-9987-d9cb622816b3</t>
  </si>
  <si>
    <t xml:space="preserve">2026-01-20 10:21:56.827</t>
  </si>
  <si>
    <t xml:space="preserve">4cb2cfe5-ba85-481b-adbf-5e279e7fd465</t>
  </si>
  <si>
    <t xml:space="preserve">2026-01-20 10:22:59.226</t>
  </si>
  <si>
    <t xml:space="preserve">6f85021e-2631-4739-84ad-36e413af4dcb</t>
  </si>
  <si>
    <t xml:space="preserve">1177</t>
  </si>
  <si>
    <t xml:space="preserve">00 00 C5 6D 26 00 D5 EF 01 01 99 04</t>
  </si>
  <si>
    <t xml:space="preserve">2026-01-20 10:22:59.229</t>
  </si>
  <si>
    <t xml:space="preserve">00 00 C5 6D 06 00 D3 F4 01 00 99 04</t>
  </si>
  <si>
    <t xml:space="preserve">2026-01-20 10:22:59.231</t>
  </si>
  <si>
    <t xml:space="preserve">19a45a0e-9ee4-4d93-af57-8fda67ed35bf</t>
  </si>
  <si>
    <t xml:space="preserve">202</t>
  </si>
  <si>
    <t xml:space="preserve">bafd4d5f-65fa-4987-9c26-68743b7e1e5f</t>
  </si>
  <si>
    <t xml:space="preserve">C5 6D 00 00 80 00 08 E6 01 01 CA 00</t>
  </si>
  <si>
    <t xml:space="preserve">80B2260120072226012010020555000500000500RZA   Z10050                                                    000051330400682001  0202</t>
  </si>
  <si>
    <t xml:space="preserve">2026-01-20 10:22:59.872</t>
  </si>
  <si>
    <t xml:space="preserve">040de9c6-c778-4bcd-ba36-c4134dbe07ea</t>
  </si>
  <si>
    <t xml:space="preserve">00 00 C5 6D 02 00 1E 46 01 00 CA 00</t>
  </si>
  <si>
    <t xml:space="preserve">2026-01-20 10:22:59.875</t>
  </si>
  <si>
    <t xml:space="preserve">2026-01-20 10:23:09.890</t>
  </si>
  <si>
    <t xml:space="preserve">a1caa84f-9d3e-4e20-afbf-6b484badea78</t>
  </si>
  <si>
    <t xml:space="preserve">3</t>
  </si>
  <si>
    <t xml:space="preserve">C5 6D 00 00 2B 00 CA 5D 01 01 01 00</t>
  </si>
  <si>
    <t xml:space="preserve">03</t>
  </si>
  <si>
    <t xml:space="preserve">3643102299999996</t>
  </si>
  <si>
    <t xml:space="preserve">2804</t>
  </si>
  <si>
    <t xml:space="preserve">2601201023</t>
  </si>
  <si>
    <t xml:space="preserve">03|3643102299999996|2804|2601201023</t>
  </si>
  <si>
    <t xml:space="preserve">2026-01-20 10:23:10.882</t>
  </si>
  <si>
    <t xml:space="preserve">c690e887-a11f-4e89-ac4c-5a901a78468a</t>
  </si>
  <si>
    <t xml:space="preserve">2026-01-20 10:23:59.406</t>
  </si>
  <si>
    <t xml:space="preserve">44acfbc6-eaea-4d06-96ea-bbf0d246f42e</t>
  </si>
  <si>
    <t xml:space="preserve">1178</t>
  </si>
  <si>
    <t xml:space="preserve">00 00 C5 6D 26 00 A7 BB 01 01 9A 04</t>
  </si>
  <si>
    <t xml:space="preserve">2026-01-20 10:23:59.407</t>
  </si>
  <si>
    <t xml:space="preserve">00 00 C5 6D 06 00 D2 F3 01 00 9A 04</t>
  </si>
  <si>
    <t xml:space="preserve">2026-01-20 10:23:59.408</t>
  </si>
  <si>
    <t xml:space="preserve">e4208d33-e338-40ce-9e66-624f775d4cfc</t>
  </si>
  <si>
    <t xml:space="preserve">203</t>
  </si>
  <si>
    <t xml:space="preserve">af65f0fa-2cdb-492a-89ae-a3c451177cdd</t>
  </si>
  <si>
    <t xml:space="preserve">C5 6D 00 00 80 00 D9 B7 01 01 CB 00</t>
  </si>
  <si>
    <t xml:space="preserve">80B2260120072326012010030555000500000500RZA   Z10050                                                    000036431022999999960203</t>
  </si>
  <si>
    <t xml:space="preserve">2026-01-20 10:23:59.926</t>
  </si>
  <si>
    <t xml:space="preserve">30a354d0-0db0-482c-9233-7f828a696283</t>
  </si>
  <si>
    <t xml:space="preserve">00 00 C5 6D 02 00 1D 46 01 00 CB 00</t>
  </si>
  <si>
    <t xml:space="preserve">2026-01-20 10:23:59.928</t>
  </si>
  <si>
    <t xml:space="preserve">2026-01-20 10:24:09.933</t>
  </si>
  <si>
    <t xml:space="preserve">109f9cd2-6499-4f09-bb9c-4093652a63d9</t>
  </si>
  <si>
    <t xml:space="preserve">4</t>
  </si>
  <si>
    <t xml:space="preserve">C5 6D 00 00 2B 00 E6 68 01 01 01 00</t>
  </si>
  <si>
    <t xml:space="preserve">04</t>
  </si>
  <si>
    <t xml:space="preserve">2601201024</t>
  </si>
  <si>
    <t xml:space="preserve">04|6900040027004963|2704|2601201024</t>
  </si>
  <si>
    <t xml:space="preserve">2026-01-20 10:24:10.936</t>
  </si>
  <si>
    <t xml:space="preserve">1a630946-419a-4e47-801c-fca24ec84470</t>
  </si>
  <si>
    <t xml:space="preserve">2026-01-20 10:24:58.247</t>
  </si>
  <si>
    <t xml:space="preserve">6dd06a74-f48f-46aa-81ff-2991f0282a7a</t>
  </si>
  <si>
    <t xml:space="preserve">1179</t>
  </si>
  <si>
    <t xml:space="preserve">00 00 C5 6D 26 00 A6 BB 01 01 9B 04</t>
  </si>
  <si>
    <t xml:space="preserve">2026-01-20 10:24:58.249</t>
  </si>
  <si>
    <t xml:space="preserve">00 00 C5 6D 06 00 D1 F3 01 00 9B 04</t>
  </si>
  <si>
    <t xml:space="preserve">2026-01-20 10:24:58.251</t>
  </si>
  <si>
    <t xml:space="preserve">adbcedb0-fc49-4ee8-a4e2-d042267f1cbd</t>
  </si>
  <si>
    <t xml:space="preserve">204</t>
  </si>
  <si>
    <t xml:space="preserve">e89a69f1-1ac6-436d-9429-cadb5bd655b4</t>
  </si>
  <si>
    <t xml:space="preserve">C5 6D 00 00 80 00 F4 C0 01 01 CC 00</t>
  </si>
  <si>
    <t xml:space="preserve">80B2260120072426012010040555000500000500RZA   Z10050                                                    000069000400270049630204</t>
  </si>
  <si>
    <t xml:space="preserve">2026-01-20 10:24:58.975</t>
  </si>
  <si>
    <t xml:space="preserve">b424c3b4-29d6-4eb9-bab5-627879c10c06</t>
  </si>
  <si>
    <t xml:space="preserve">00 00 C5 6D 02 00 1C 46 01 00 CC 00</t>
  </si>
  <si>
    <t xml:space="preserve">2026-01-20 10:24:58.977</t>
  </si>
  <si>
    <t xml:space="preserve">2026-01-20 10:25:08.985</t>
  </si>
  <si>
    <t xml:space="preserve">1bba4c74-875c-40c2-8e99-db5e2a552e74</t>
  </si>
  <si>
    <t xml:space="preserve">5</t>
  </si>
  <si>
    <t xml:space="preserve">C5 6D 00 00 2B 00 F7 8A 01 01 01 00</t>
  </si>
  <si>
    <t xml:space="preserve">05</t>
  </si>
  <si>
    <t xml:space="preserve">2601201025</t>
  </si>
  <si>
    <t xml:space="preserve">05|51330400682001  |2511|2601201025</t>
  </si>
  <si>
    <t xml:space="preserve">2026-01-20 10:25:09.986</t>
  </si>
  <si>
    <t xml:space="preserve">ba930137-674c-4976-a0e5-b3d14ee33d5c</t>
  </si>
  <si>
    <t xml:space="preserve">2026-01-20 10:26:00.034</t>
  </si>
  <si>
    <t xml:space="preserve">d1dc892d-2cbf-436b-a250-56092812ef77</t>
  </si>
  <si>
    <t xml:space="preserve">2026-01-20 10:27:02.415</t>
  </si>
  <si>
    <t xml:space="preserve">0014ad19-2292-4407-ba65-21df610634d2</t>
  </si>
  <si>
    <t xml:space="preserve">1181</t>
  </si>
  <si>
    <t xml:space="preserve">00 00 C5 6D 26 00 C0 C6 01 01 9D 04</t>
  </si>
  <si>
    <t xml:space="preserve">2026-01-20 10:27:02.417</t>
  </si>
  <si>
    <t xml:space="preserve">00 00 C5 6D 06 00 CF F2 01 00 9D 04</t>
  </si>
  <si>
    <t xml:space="preserve">2026-01-20 10:27:02.419</t>
  </si>
  <si>
    <t xml:space="preserve">2ea93ea6-e4c9-4476-9a38-9eccc228466e</t>
  </si>
  <si>
    <t xml:space="preserve">205</t>
  </si>
  <si>
    <t xml:space="preserve">cd769cfb-397a-4a15-920d-822a34bf4c15</t>
  </si>
  <si>
    <t xml:space="preserve">C5 6D 00 00 80 00 05 D9 01 01 CD 00</t>
  </si>
  <si>
    <t xml:space="preserve">80B2260120072726012010070555000500000500RZA   Z10050                                                    000051330400682001  0205</t>
  </si>
  <si>
    <t xml:space="preserve">2026-01-20 10:27:03.082</t>
  </si>
  <si>
    <t xml:space="preserve">299fcd9d-e663-4e5f-8003-3ef528aa6741</t>
  </si>
  <si>
    <t xml:space="preserve">00 00 C5 6D 02 00 1B 46 01 00 CD 00</t>
  </si>
  <si>
    <t xml:space="preserve">2026-01-20 10:27:03.085</t>
  </si>
  <si>
    <t xml:space="preserve">2026-01-20 10:28:03.131</t>
  </si>
  <si>
    <t xml:space="preserve">be172afa-d253-4d06-9922-d69f33702a97</t>
  </si>
  <si>
    <t xml:space="preserve">2026-01-20 10:29:05.256</t>
  </si>
  <si>
    <t xml:space="preserve">d5f083f8-b9cc-4b26-9cb0-123c6ee0cdcd</t>
  </si>
  <si>
    <t xml:space="preserve">1183</t>
  </si>
  <si>
    <t xml:space="preserve">00 00 C5 6D 26 00 CF E8 01 01 9F 04</t>
  </si>
  <si>
    <t xml:space="preserve">2026-01-20 10:30:06.240</t>
  </si>
  <si>
    <t xml:space="preserve">212e30d0-29ac-46bf-a8af-30c8da33ebf9</t>
  </si>
  <si>
    <t xml:space="preserve">2026-01-20 10:45:18.247</t>
  </si>
  <si>
    <t xml:space="preserve">da0b1f44-73ff-49c7-b55b-dc9bb2f1936f</t>
  </si>
  <si>
    <t xml:space="preserve">C5 6D 00 00 2B 00 E4 6A 01 01 01 00</t>
  </si>
  <si>
    <t xml:space="preserve">2601201045</t>
  </si>
  <si>
    <t xml:space="preserve">01|6900040027004963|2704|2601201045</t>
  </si>
  <si>
    <t xml:space="preserve">2026-01-20 10:45:19.063</t>
  </si>
  <si>
    <t xml:space="preserve">0b01f2fd-47e2-4f32-8437-fba2d2e2a0d0</t>
  </si>
  <si>
    <t xml:space="preserve">2026-01-20 10:45:20.042</t>
  </si>
  <si>
    <t xml:space="preserve">ec78ccd4-0a62-4e98-a2b3-c4299cda4221</t>
  </si>
  <si>
    <t xml:space="preserve">1185</t>
  </si>
  <si>
    <t xml:space="preserve">00 00 C5 6D 26 00 BA C8 01 01 A1 04</t>
  </si>
  <si>
    <t xml:space="preserve">2026-01-20 10:45:20.047</t>
  </si>
  <si>
    <t xml:space="preserve">00 00 C5 6D 06 00 CB F5 01 00 A1 04</t>
  </si>
  <si>
    <t xml:space="preserve">2026-01-20 10:45:20.054</t>
  </si>
  <si>
    <t xml:space="preserve">10e7a675-a6de-4c2b-a33e-9389237d07d4</t>
  </si>
  <si>
    <t xml:space="preserve">a95346de-4ce3-43e1-93c8-358cf7565f2b</t>
  </si>
  <si>
    <t xml:space="preserve">C5 6D 00 00 80 00 F3 C1 01 01 C9 00</t>
  </si>
  <si>
    <t xml:space="preserve">80B2260120074526012010250555000500000500RZA   Z10050                                                    000069000400270049630201</t>
  </si>
  <si>
    <t xml:space="preserve">2026-01-20 10:45:21.038</t>
  </si>
  <si>
    <t xml:space="preserve">b9033e67-d057-45ee-acaf-0bd2c7e008b1</t>
  </si>
  <si>
    <t xml:space="preserve">2026-01-20 10:45:21.042</t>
  </si>
  <si>
    <t xml:space="preserve">2026-01-20 10:46:21.058</t>
  </si>
  <si>
    <t xml:space="preserve">9827c1dd-873d-498d-8a10-e152e53a4d25</t>
  </si>
  <si>
    <t xml:space="preserve">C5 6D 00 00 2B 00 F4 8C 01 01 02 00</t>
  </si>
  <si>
    <t xml:space="preserve">2601201046</t>
  </si>
  <si>
    <t xml:space="preserve">02|51330400682001  |2511|2601201046</t>
  </si>
  <si>
    <t xml:space="preserve">2026-01-20 10:46:22.089</t>
  </si>
  <si>
    <t xml:space="preserve">6b531038-2cce-4f3e-b143-b2aed8c07867</t>
  </si>
  <si>
    <t xml:space="preserve">00 00 C5 6D 02 00 E6 46 01 00 02 00</t>
  </si>
  <si>
    <t xml:space="preserve">2026-01-20 10:46:22.092</t>
  </si>
  <si>
    <t xml:space="preserve">3fd4ce9f-fd4d-43aa-8b20-c7acc7530358</t>
  </si>
  <si>
    <t xml:space="preserve">2026-01-20 10:47:23.539</t>
  </si>
  <si>
    <t xml:space="preserve">8740be31-88d7-42ac-8f51-ff71d7804682</t>
  </si>
  <si>
    <t xml:space="preserve">1187</t>
  </si>
  <si>
    <t xml:space="preserve">00 00 C5 6D 26 00 C9 EA 01 01 A3 04</t>
  </si>
  <si>
    <t xml:space="preserve">2026-01-20 10:47:23.542</t>
  </si>
  <si>
    <t xml:space="preserve">00 00 C5 6D 06 00 C9 F4 01 00 A3 04</t>
  </si>
  <si>
    <t xml:space="preserve">2026-01-20 10:47:23.543</t>
  </si>
  <si>
    <t xml:space="preserve">52b17f63-b047-424b-948e-ce876384b350</t>
  </si>
  <si>
    <t xml:space="preserve">5d4bfa4b-6b52-474e-ab9e-b071bbefe3f2</t>
  </si>
  <si>
    <t xml:space="preserve">C5 6D 00 00 80 00 04 DC 01 01 CA 00</t>
  </si>
  <si>
    <t xml:space="preserve">80B2260120074726012010270555000500000500RZA   Z10050                                                    000051330400682001  0202</t>
  </si>
  <si>
    <t xml:space="preserve">2026-01-20 10:47:24.155</t>
  </si>
  <si>
    <t xml:space="preserve">b8a9c4c5-a266-4831-ab0c-8d5985f0c3a9</t>
  </si>
  <si>
    <t xml:space="preserve">2026-01-20 10:47:24.158</t>
  </si>
  <si>
    <t xml:space="preserve">2026-01-20 10:48:24.169</t>
  </si>
  <si>
    <t xml:space="preserve">889dbad9-43aa-4e51-987a-e3377aa2a7f2</t>
  </si>
  <si>
    <t xml:space="preserve">C5 6D 00 00 2B 00 C6 58 01 01 03 00</t>
  </si>
  <si>
    <t xml:space="preserve">2601201048</t>
  </si>
  <si>
    <t xml:space="preserve">03|3643102299999996|2804|2601201048</t>
  </si>
  <si>
    <t xml:space="preserve">2026-01-20 10:48:25.206</t>
  </si>
  <si>
    <t xml:space="preserve">25de89ea-bf16-4a67-83bf-f975f9d44b9e</t>
  </si>
  <si>
    <t xml:space="preserve">00 00 C5 6D 02 00 E5 46 01 00 03 00</t>
  </si>
  <si>
    <t xml:space="preserve">2026-01-20 10:48:25.208</t>
  </si>
  <si>
    <t xml:space="preserve">b911bc22-8978-4552-9dbd-cd84bc51661f</t>
  </si>
  <si>
    <t xml:space="preserve">2026-01-20 10:49:27.665</t>
  </si>
  <si>
    <t xml:space="preserve">8f0e3c44-4e18-4a04-9dbd-8cb8904f4e8b</t>
  </si>
  <si>
    <t xml:space="preserve">1189</t>
  </si>
  <si>
    <t xml:space="preserve">00 00 C5 6D 26 00 9A B6 01 01 A5 04</t>
  </si>
  <si>
    <t xml:space="preserve">2026-01-20 10:49:27.668</t>
  </si>
  <si>
    <t xml:space="preserve">00 00 C5 6D 06 00 C7 F3 01 00 A5 04</t>
  </si>
  <si>
    <t xml:space="preserve">2026-01-20 10:49:27.670</t>
  </si>
  <si>
    <t xml:space="preserve">617c0752-eee7-4817-b47b-d0b346cee4e9</t>
  </si>
  <si>
    <t xml:space="preserve">c6476dab-608e-4063-a236-b831460d5b6b</t>
  </si>
  <si>
    <t xml:space="preserve">C5 6D 00 00 80 00 D5 AB 01 01 CB 00</t>
  </si>
  <si>
    <t xml:space="preserve">80B2260120074926012010290555000500000500RZA   Z10050                                                    000036431022999999960203</t>
  </si>
  <si>
    <t xml:space="preserve">2026-01-20 10:49:28.259</t>
  </si>
  <si>
    <t xml:space="preserve">b1cfa645-b8dd-49e8-a4ae-1a967b06d825</t>
  </si>
  <si>
    <t xml:space="preserve">2026-01-20 10:49:28.261</t>
  </si>
  <si>
    <t xml:space="preserve">2026-01-20 10:50:28.266</t>
  </si>
  <si>
    <t xml:space="preserve">bfe0acbf-cfa3-459d-ad86-1906020f3666</t>
  </si>
  <si>
    <t xml:space="preserve">C5 6D 00 00 2B 00 E0 6C 01 01 04 00</t>
  </si>
  <si>
    <t xml:space="preserve">2601201050</t>
  </si>
  <si>
    <t xml:space="preserve">04|6900040027004963|2704|2601201050</t>
  </si>
  <si>
    <t xml:space="preserve">2026-01-20 10:50:28.307</t>
  </si>
  <si>
    <t xml:space="preserve">ad7244a3-3365-401a-9723-982183531c56</t>
  </si>
  <si>
    <t xml:space="preserve">2026-01-20 10:50:29.311</t>
  </si>
  <si>
    <t xml:space="preserve">004f39de-6333-4a3c-920b-7ff84c870bff</t>
  </si>
  <si>
    <t xml:space="preserve">00 00 C5 6D 02 00 E4 46 01 00 04 00</t>
  </si>
  <si>
    <t xml:space="preserve">2026-01-20 10:51:30.561</t>
  </si>
  <si>
    <t xml:space="preserve">1671fd64-31ee-43b0-a912-f5acd46b8a98</t>
  </si>
  <si>
    <t xml:space="preserve">1191</t>
  </si>
  <si>
    <t xml:space="preserve">00 00 C5 6D 26 00 B3 CA 01 01 A7 04</t>
  </si>
  <si>
    <t xml:space="preserve">2026-01-20 10:51:30.563</t>
  </si>
  <si>
    <t xml:space="preserve">00 00 C5 6D 06 00 C5 F2 01 00 A7 04</t>
  </si>
  <si>
    <t xml:space="preserve">2026-01-20 10:51:30.565</t>
  </si>
  <si>
    <t xml:space="preserve">e7883628-af85-4f6b-bd4d-3bd7874bcb15</t>
  </si>
  <si>
    <t xml:space="preserve">2ea38fe2-43ba-4ee1-850c-2eb2ed408efe</t>
  </si>
  <si>
    <t xml:space="preserve">C5 6D 00 00 80 00 EE C6 01 01 CC 00</t>
  </si>
  <si>
    <t xml:space="preserve">80B2260120075126012010310555000500000500RZA   Z10050                                                    000069000400270049630204</t>
  </si>
  <si>
    <t xml:space="preserve">2026-01-20 10:51:31.362</t>
  </si>
  <si>
    <t xml:space="preserve">6f702ad4-83b3-4578-a0a5-c874c5a43efd</t>
  </si>
  <si>
    <t xml:space="preserve">2026-01-20 10:51:31.365</t>
  </si>
  <si>
    <t xml:space="preserve">2026-01-20 10:52:31.378</t>
  </si>
  <si>
    <t xml:space="preserve">5e87676a-e764-43aa-a11e-24014af420ac</t>
  </si>
  <si>
    <t xml:space="preserve">C5 6D 00 00 2B 00 F0 8D 01 01 05 00</t>
  </si>
  <si>
    <t xml:space="preserve">2601201052</t>
  </si>
  <si>
    <t xml:space="preserve">05|51330400682001  |2511|2601201052</t>
  </si>
  <si>
    <t xml:space="preserve">2026-01-20 10:52:31.415</t>
  </si>
  <si>
    <t xml:space="preserve">5ce6c680-732d-44c5-ac91-7b47a01e35fd</t>
  </si>
  <si>
    <t xml:space="preserve">2026-01-20 10:52:32.417</t>
  </si>
  <si>
    <t xml:space="preserve">9f96fe10-933e-4110-b6ba-b8cfc5e0b00a</t>
  </si>
  <si>
    <t xml:space="preserve">00 00 C5 6D 02 00 E3 46 01 00 05 00</t>
  </si>
  <si>
    <t xml:space="preserve">2026-01-20 10:53:33.447</t>
  </si>
  <si>
    <t xml:space="preserve">2600ac7e-c831-4899-91df-631eb6c13515</t>
  </si>
  <si>
    <t xml:space="preserve">1193</t>
  </si>
  <si>
    <t xml:space="preserve">00 00 C5 6D 26 00 C2 EB 01 01 A9 04</t>
  </si>
  <si>
    <t xml:space="preserve">2026-01-20 10:53:33.450</t>
  </si>
  <si>
    <t xml:space="preserve">00 00 C5 6D 06 00 C3 F1 01 00 A9 04</t>
  </si>
  <si>
    <t xml:space="preserve">2026-01-20 10:53:33.452</t>
  </si>
  <si>
    <t xml:space="preserve">7758083a-01f9-42f7-93e4-28384f74a1f8</t>
  </si>
  <si>
    <t xml:space="preserve">86142739-a2b9-42fd-9ec1-88db0b785323</t>
  </si>
  <si>
    <t xml:space="preserve">C5 6D 00 00 80 00 FF E0 01 01 CD 00</t>
  </si>
  <si>
    <t xml:space="preserve">80B2260120075326012010330555000500000500RZA   Z10050                                                    000051330400682001  0205</t>
  </si>
  <si>
    <t xml:space="preserve">2026-01-20 10:53:34.463</t>
  </si>
  <si>
    <t xml:space="preserve">d48c4dd1-442f-4f50-8769-d592912b4e6e</t>
  </si>
  <si>
    <t xml:space="preserve">2026-01-20 10:53:34.466</t>
  </si>
  <si>
    <t xml:space="preserve">Only80_PairKey(SeqNo)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</si>
</sst>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.000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52"/>
      </patternFill>
    </fill>
    <fill>
      <patternFill patternType="solid">
        <fgColor indexed="44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Font="1" applyFill="1" applyBorder="1">
      <alignment horizontal="center" vertical="center"/>
    </xf>
    <xf numFmtId="0" fontId="1" fillId="4" borderId="4" xfId="0" applyFont="1" applyFill="1" applyBorder="1">
      <alignment horizontal="center" vertical="center"/>
    </xf>
    <xf numFmtId="0" fontId="1" fillId="5" borderId="4" xfId="0" applyFont="1" applyFill="1" applyBorder="1">
      <alignment horizontal="center" vertical="center"/>
    </xf>
    <xf numFmtId="0" fontId="1" fillId="6" borderId="4" xfId="0" applyFont="1" applyFill="1" applyBorder="1">
      <alignment horizontal="center" vertical="center"/>
    </xf>
    <xf numFmtId="0" fontId="1" fillId="3" borderId="4" xfId="0" applyFont="1" applyFill="1" applyBorder="1">
      <alignment horizontal="center" vertical="center" wrapText="1"/>
    </xf>
    <xf numFmtId="0" fontId="1" fillId="4" borderId="4" xfId="0" applyFont="1" applyFill="1" applyBorder="1">
      <alignment horizontal="center" vertical="center" wrapText="1"/>
    </xf>
    <xf numFmtId="0" fontId="1" fillId="5" borderId="4" xfId="0" applyFont="1" applyFill="1" applyBorder="1">
      <alignment horizontal="center" vertical="center" wrapText="1"/>
    </xf>
    <xf numFmtId="0" fontId="1" fillId="6" borderId="4" xfId="0" applyFont="1" applyFill="1" applyBorder="1">
      <alignment horizontal="center" vertical="center" wrapText="1"/>
    </xf>
    <xf numFmtId="0" fontId="0" fillId="0" borderId="4" xfId="0" applyBorder="1">
      <alignment horizontal="left" vertical="center"/>
    </xf>
    <xf numFmtId="164" fontId="0" fillId="0" borderId="4" xfId="0" applyNumberFormat="1" applyBorder="1">
      <alignment horizontal="left" vertical="center"/>
    </xf>
    <xf numFmtId="0" fontId="2" fillId="3" borderId="4" xfId="0" applyFont="1" applyFill="1" applyBorder="1">
      <alignment horizontal="center" vertical="center" wrapText="1"/>
    </xf>
    <xf numFmtId="0" fontId="0" fillId="0" borderId="4" xfId="0" applyBorder="1">
      <alignment horizontal="left" vertical="center"/>
    </xf>
    <xf numFmtId="1" fontId="0" fillId="0" borderId="4" xfId="0" applyNumberFormat="1" applyBorder="1">
      <alignment horizontal="right" vertical="center"/>
    </xf>
    <xf numFmtId="0" fontId="2" fillId="7" borderId="4" xfId="0" applyFont="1" applyFill="1" applyBorder="1">
      <alignment horizontal="left" vertical="center"/>
    </xf>
    <xf numFmtId="0" fontId="2" fillId="7" borderId="4" xfId="0" applyFont="1" applyFill="1" applyBorder="1">
      <alignment horizontal="left" vertical="center"/>
    </xf>
    <xf numFmtId="1" fontId="2" fillId="7" borderId="4" xfId="0" applyNumberFormat="1" applyFont="1" applyFill="1" applyBorder="1">
      <alignment horizontal="right" vertical="center"/>
    </xf>
    <xf numFmtId="0" fontId="2" fillId="8" borderId="4" xfId="0" applyFont="1" applyFill="1" applyBorder="1">
      <alignment horizontal="left" vertical="center"/>
    </xf>
    <xf numFmtId="1" fontId="2" fillId="8" borderId="4" xfId="0" applyNumberFormat="1" applyFont="1" applyFill="1" applyBorder="1">
      <alignment horizontal="right" vertical="center"/>
    </xf>
  </cellXfs>
  <dxfs count="1">
    <dxf>
      <fill>
        <patternFill patternType="solid">
          <bgColor indexed="42"/>
        </patternFill>
      </fill>
    </dxf>
  </d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12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defaultColWidth="8.43" defaultRowHeight="15"/>
  <sheetData>
    <row r="1">
      <c r="E1" s="1" t="s">
        <v>1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2</v>
      </c>
      <c r="K1" s="1" t="s">
        <v>0</v>
      </c>
      <c r="L1" s="1" t="s">
        <v>0</v>
      </c>
      <c r="M1" s="1" t="s">
        <v>0</v>
      </c>
      <c r="N1" s="2" t="s">
        <v>3</v>
      </c>
      <c r="O1" s="2" t="s">
        <v>0</v>
      </c>
      <c r="P1" s="2" t="s">
        <v>0</v>
      </c>
      <c r="Q1" s="2" t="s">
        <v>0</v>
      </c>
      <c r="R1" s="2" t="s">
        <v>0</v>
      </c>
      <c r="S1" s="3" t="s">
        <v>4</v>
      </c>
      <c r="T1" s="3" t="s">
        <v>0</v>
      </c>
      <c r="U1" s="4" t="s">
        <v>5</v>
      </c>
      <c r="V1" s="4" t="s">
        <v>0</v>
      </c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0</v>
      </c>
      <c r="K2" s="5" t="s">
        <v>0</v>
      </c>
      <c r="L2" s="5" t="s">
        <v>15</v>
      </c>
      <c r="M2" s="5" t="s">
        <v>0</v>
      </c>
      <c r="N2" s="6" t="s">
        <v>16</v>
      </c>
      <c r="O2" s="6" t="s">
        <v>10</v>
      </c>
      <c r="P2" s="6" t="s">
        <v>11</v>
      </c>
      <c r="Q2" s="6" t="s">
        <v>12</v>
      </c>
      <c r="R2" s="6" t="s">
        <v>13</v>
      </c>
      <c r="S2" s="7" t="s">
        <v>14</v>
      </c>
      <c r="T2" s="7" t="s">
        <v>10</v>
      </c>
      <c r="U2" s="8" t="s">
        <v>17</v>
      </c>
      <c r="V2" s="8" t="s">
        <v>18</v>
      </c>
    </row>
    <row r="3">
      <c r="A3" s="9" t="s">
        <v>19</v>
      </c>
      <c r="B3" s="9" t="s">
        <v>20</v>
      </c>
      <c r="C3" s="9">
        <v>1</v>
      </c>
      <c r="D3" s="9">
        <v>1</v>
      </c>
      <c r="E3" s="9" t="s">
        <v>21</v>
      </c>
      <c r="F3" s="9" t="s">
        <f>MID(E3,3,2)</f>
        <v/>
      </c>
      <c r="G3" s="9" t="s">
        <f>MID(E3,5,16)</f>
        <v/>
      </c>
      <c r="H3" s="9" t="s">
        <f>MID(E3,21,4)</f>
        <v/>
      </c>
      <c r="I3" s="10">
        <v>46042.430421377314</v>
      </c>
      <c r="J3" s="9" t="s">
        <v>0</v>
      </c>
      <c r="K3" s="9" t="s">
        <v>0</v>
      </c>
      <c r="L3" s="9">
        <f>COUNTIF(B:B,$B3)</f>
        <v/>
      </c>
      <c r="M3" s="9" t="s">
        <v>0</v>
      </c>
      <c r="N3" s="10">
        <v>46042.43119269676</v>
      </c>
      <c r="O3" s="9" t="s">
        <v>22</v>
      </c>
      <c r="P3" s="9" t="s">
        <f>MID(O3,3,2)</f>
        <v/>
      </c>
      <c r="Q3" s="9" t="s">
        <f>MID(O3,7,16)</f>
        <v/>
      </c>
      <c r="R3" s="9" t="s">
        <f>MID(O3,23,4)</f>
        <v/>
      </c>
      <c r="S3" s="10">
        <v>46042.43119324074</v>
      </c>
      <c r="T3" s="9" t="s">
        <v>23</v>
      </c>
      <c r="U3" s="9">
        <f>IF(ISNUMBER(N3),ROUND((N3-I3)*86400,0),"No Reply")</f>
        <v/>
      </c>
      <c r="V3" s="9" t="s">
        <f>IF(ISNUMBER(U3),TEXT(FLOOR(U3,30),"000")&amp;"~"&amp;TEXT(CEILING(U3,30),"000"),"")</f>
        <v/>
      </c>
    </row>
    <row r="4">
      <c r="A4" s="9" t="s">
        <v>19</v>
      </c>
      <c r="B4" s="9" t="s">
        <v>24</v>
      </c>
      <c r="C4" s="9">
        <v>2</v>
      </c>
      <c r="D4" s="9">
        <v>1</v>
      </c>
      <c r="E4" s="9" t="s">
        <v>25</v>
      </c>
      <c r="F4" s="9" t="s">
        <f>MID(E4,3,2)</f>
        <v/>
      </c>
      <c r="G4" s="9" t="s">
        <f>MID(E4,5,16)</f>
        <v/>
      </c>
      <c r="H4" s="9" t="s">
        <f>MID(E4,21,4)</f>
        <v/>
      </c>
      <c r="I4" s="10">
        <v>46042.431316863425</v>
      </c>
      <c r="J4" s="9" t="s">
        <v>0</v>
      </c>
      <c r="K4" s="9" t="s">
        <v>0</v>
      </c>
      <c r="L4" s="9">
        <f>COUNTIF(B:B,$B4)</f>
        <v/>
      </c>
      <c r="M4" s="9" t="s">
        <v>0</v>
      </c>
      <c r="N4" s="10">
        <v>46042.432629930554</v>
      </c>
      <c r="O4" s="9" t="s">
        <v>26</v>
      </c>
      <c r="P4" s="9" t="s">
        <f>MID(O4,3,2)</f>
        <v/>
      </c>
      <c r="Q4" s="9" t="s">
        <f>MID(O4,7,16)</f>
        <v/>
      </c>
      <c r="R4" s="9" t="s">
        <f>MID(O4,23,4)</f>
        <v/>
      </c>
      <c r="S4" s="10">
        <v>46042.432629965275</v>
      </c>
      <c r="T4" s="9" t="s">
        <v>27</v>
      </c>
      <c r="U4" s="9">
        <f>IF(ISNUMBER(N4),ROUND((N4-I4)*86400,0),"No Reply")</f>
        <v/>
      </c>
      <c r="V4" s="9" t="s">
        <f>IF(ISNUMBER(U4),TEXT(FLOOR(U4,30),"000")&amp;"~"&amp;TEXT(CEILING(U4,30),"000"),"")</f>
        <v/>
      </c>
    </row>
    <row r="5">
      <c r="A5" s="9" t="s">
        <v>19</v>
      </c>
      <c r="B5" s="9" t="s">
        <v>28</v>
      </c>
      <c r="C5" s="9">
        <v>3</v>
      </c>
      <c r="D5" s="9">
        <v>1</v>
      </c>
      <c r="E5" s="9" t="s">
        <v>29</v>
      </c>
      <c r="F5" s="9" t="s">
        <f>MID(E5,3,2)</f>
        <v/>
      </c>
      <c r="G5" s="9" t="s">
        <f>MID(E5,5,16)</f>
        <v/>
      </c>
      <c r="H5" s="9" t="s">
        <f>MID(E5,21,4)</f>
        <v/>
      </c>
      <c r="I5" s="10">
        <v>46042.43275335648</v>
      </c>
      <c r="J5" s="9" t="s">
        <v>0</v>
      </c>
      <c r="K5" s="9" t="s">
        <v>0</v>
      </c>
      <c r="L5" s="9">
        <f>COUNTIF(B:B,$B5)</f>
        <v/>
      </c>
      <c r="M5" s="9" t="s">
        <v>0</v>
      </c>
      <c r="N5" s="10">
        <v>46042.434007488424</v>
      </c>
      <c r="O5" s="9" t="s">
        <v>30</v>
      </c>
      <c r="P5" s="9" t="s">
        <f>MID(O5,3,2)</f>
        <v/>
      </c>
      <c r="Q5" s="9" t="s">
        <f>MID(O5,7,16)</f>
        <v/>
      </c>
      <c r="R5" s="9" t="s">
        <f>MID(O5,23,4)</f>
        <v/>
      </c>
      <c r="S5" s="10">
        <v>46042.43332646991</v>
      </c>
      <c r="T5" s="9" t="s">
        <v>31</v>
      </c>
      <c r="U5" s="9">
        <f>IF(ISNUMBER(N5),ROUND((N5-I5)*86400,0),"No Reply")</f>
        <v/>
      </c>
      <c r="V5" s="9" t="s">
        <f>IF(ISNUMBER(U5),TEXT(FLOOR(U5,30),"000")&amp;"~"&amp;TEXT(CEILING(U5,30),"000"),"")</f>
        <v/>
      </c>
    </row>
    <row r="6">
      <c r="A6" s="9" t="s">
        <v>19</v>
      </c>
      <c r="B6" s="9" t="s">
        <v>32</v>
      </c>
      <c r="C6" s="9">
        <v>4</v>
      </c>
      <c r="D6" s="9">
        <v>1</v>
      </c>
      <c r="E6" s="9" t="s">
        <v>33</v>
      </c>
      <c r="F6" s="9" t="s">
        <f>MID(E6,3,2)</f>
        <v/>
      </c>
      <c r="G6" s="9" t="s">
        <f>MID(E6,5,16)</f>
        <v/>
      </c>
      <c r="H6" s="9" t="s">
        <f>MID(E6,21,4)</f>
        <v/>
      </c>
      <c r="I6" s="10">
        <v>46042.43344829861</v>
      </c>
      <c r="J6" s="9" t="s">
        <v>0</v>
      </c>
      <c r="K6" s="9" t="s">
        <v>0</v>
      </c>
      <c r="L6" s="9">
        <f>COUNTIF(B:B,$B6)</f>
        <v/>
      </c>
      <c r="M6" s="9" t="s">
        <v>0</v>
      </c>
      <c r="N6" s="10">
        <v>46042.43544461806</v>
      </c>
      <c r="O6" s="9" t="s">
        <v>34</v>
      </c>
      <c r="P6" s="9" t="s">
        <f>MID(O6,3,2)</f>
        <v/>
      </c>
      <c r="Q6" s="9" t="s">
        <f>MID(O6,7,16)</f>
        <v/>
      </c>
      <c r="R6" s="9" t="s">
        <f>MID(O6,23,4)</f>
        <v/>
      </c>
      <c r="S6" s="10">
        <v>46042.434007511576</v>
      </c>
      <c r="T6" s="9" t="s">
        <v>31</v>
      </c>
      <c r="U6" s="9">
        <f>IF(ISNUMBER(N6),ROUND((N6-I6)*86400,0),"No Reply")</f>
        <v/>
      </c>
      <c r="V6" s="9" t="s">
        <f>IF(ISNUMBER(U6),TEXT(FLOOR(U6,30),"000")&amp;"~"&amp;TEXT(CEILING(U6,30),"000"),"")</f>
        <v/>
      </c>
    </row>
    <row r="7">
      <c r="A7" s="9" t="s">
        <v>19</v>
      </c>
      <c r="B7" s="9" t="s">
        <v>35</v>
      </c>
      <c r="C7" s="9">
        <v>5</v>
      </c>
      <c r="D7" s="9">
        <v>1</v>
      </c>
      <c r="E7" s="9" t="s">
        <v>36</v>
      </c>
      <c r="F7" s="9" t="s">
        <f>MID(E7,3,2)</f>
        <v/>
      </c>
      <c r="G7" s="9" t="s">
        <f>MID(E7,5,16)</f>
        <v/>
      </c>
      <c r="H7" s="9" t="s">
        <f>MID(E7,21,4)</f>
        <v/>
      </c>
      <c r="I7" s="10">
        <v>46042.43413177083</v>
      </c>
      <c r="J7" s="9" t="s">
        <v>0</v>
      </c>
      <c r="K7" s="9" t="s">
        <v>0</v>
      </c>
      <c r="L7" s="9">
        <f>COUNTIF(B:B,$B7)</f>
        <v/>
      </c>
      <c r="M7" s="9" t="s">
        <v>0</v>
      </c>
      <c r="N7" s="10">
        <v>46042.43686638889</v>
      </c>
      <c r="O7" s="9" t="s">
        <v>37</v>
      </c>
      <c r="P7" s="9" t="s">
        <f>MID(O7,3,2)</f>
        <v/>
      </c>
      <c r="Q7" s="9" t="s">
        <f>MID(O7,7,16)</f>
        <v/>
      </c>
      <c r="R7" s="9" t="s">
        <f>MID(O7,23,4)</f>
        <v/>
      </c>
      <c r="S7" s="10">
        <v>46042.4354446412</v>
      </c>
      <c r="T7" s="9" t="s">
        <v>38</v>
      </c>
      <c r="U7" s="9">
        <f>IF(ISNUMBER(N7),ROUND((N7-I7)*86400,0),"No Reply")</f>
        <v/>
      </c>
      <c r="V7" s="9" t="s">
        <f>IF(ISNUMBER(U7),TEXT(FLOOR(U7,30),"000")&amp;"~"&amp;TEXT(CEILING(U7,30),"000"),"")</f>
        <v/>
      </c>
    </row>
    <row r="8">
      <c r="A8" s="9" t="s">
        <v>39</v>
      </c>
      <c r="B8" s="9" t="s">
        <v>40</v>
      </c>
      <c r="C8" s="9">
        <v>1</v>
      </c>
      <c r="D8" s="9">
        <v>1</v>
      </c>
      <c r="E8" s="9" t="s">
        <v>41</v>
      </c>
      <c r="F8" s="9" t="s">
        <f>MID(E8,3,2)</f>
        <v/>
      </c>
      <c r="G8" s="9" t="s">
        <f>MID(E8,5,16)</f>
        <v/>
      </c>
      <c r="H8" s="9" t="s">
        <f>MID(E8,21,4)</f>
        <v/>
      </c>
      <c r="I8" s="10">
        <v>46042.4481278588</v>
      </c>
      <c r="J8" s="9" t="s">
        <v>0</v>
      </c>
      <c r="K8" s="9" t="s">
        <v>0</v>
      </c>
      <c r="L8" s="9">
        <f>COUNTIF(B:B,$B8)</f>
        <v/>
      </c>
      <c r="M8" s="9" t="s">
        <v>0</v>
      </c>
      <c r="N8" s="10">
        <v>46042.448148634256</v>
      </c>
      <c r="O8" s="9" t="s">
        <v>42</v>
      </c>
      <c r="P8" s="9" t="s">
        <f>MID(O8,3,2)</f>
        <v/>
      </c>
      <c r="Q8" s="9" t="s">
        <f>MID(O8,7,16)</f>
        <v/>
      </c>
      <c r="R8" s="9" t="s">
        <f>MID(O8,23,4)</f>
        <v/>
      </c>
      <c r="S8" s="10">
        <v>46042.44814869213</v>
      </c>
      <c r="T8" s="9" t="s">
        <v>23</v>
      </c>
      <c r="U8" s="9">
        <f>IF(ISNUMBER(N8),ROUND((N8-I8)*86400,0),"No Reply")</f>
        <v/>
      </c>
      <c r="V8" s="9" t="s">
        <f>IF(ISNUMBER(U8),TEXT(FLOOR(U8,30),"000")&amp;"~"&amp;TEXT(CEILING(U8,30),"000"),"")</f>
        <v/>
      </c>
    </row>
    <row r="9">
      <c r="A9" s="9" t="s">
        <v>39</v>
      </c>
      <c r="B9" s="9" t="s">
        <v>43</v>
      </c>
      <c r="C9" s="9">
        <v>2</v>
      </c>
      <c r="D9" s="9">
        <v>1</v>
      </c>
      <c r="E9" s="9" t="s">
        <v>44</v>
      </c>
      <c r="F9" s="9" t="s">
        <f>MID(E9,3,2)</f>
        <v/>
      </c>
      <c r="G9" s="9" t="s">
        <f>MID(E9,5,16)</f>
        <v/>
      </c>
      <c r="H9" s="9" t="s">
        <f>MID(E9,21,4)</f>
        <v/>
      </c>
      <c r="I9" s="10">
        <v>46042.44885483796</v>
      </c>
      <c r="J9" s="9" t="s">
        <v>0</v>
      </c>
      <c r="K9" s="9" t="s">
        <v>0</v>
      </c>
      <c r="L9" s="9">
        <f>COUNTIF(B:B,$B9)</f>
        <v/>
      </c>
      <c r="M9" s="9" t="s">
        <v>0</v>
      </c>
      <c r="N9" s="10">
        <v>46042.449577997686</v>
      </c>
      <c r="O9" s="9" t="s">
        <v>45</v>
      </c>
      <c r="P9" s="9" t="s">
        <f>MID(O9,3,2)</f>
        <v/>
      </c>
      <c r="Q9" s="9" t="s">
        <f>MID(O9,7,16)</f>
        <v/>
      </c>
      <c r="R9" s="9" t="s">
        <f>MID(O9,23,4)</f>
        <v/>
      </c>
      <c r="S9" s="10">
        <v>46042.44957803241</v>
      </c>
      <c r="T9" s="9" t="s">
        <v>27</v>
      </c>
      <c r="U9" s="9">
        <f>IF(ISNUMBER(N9),ROUND((N9-I9)*86400,0),"No Reply")</f>
        <v/>
      </c>
      <c r="V9" s="9" t="s">
        <f>IF(ISNUMBER(U9),TEXT(FLOOR(U9,30),"000")&amp;"~"&amp;TEXT(CEILING(U9,30),"000"),"")</f>
        <v/>
      </c>
    </row>
    <row r="10">
      <c r="A10" s="9" t="s">
        <v>39</v>
      </c>
      <c r="B10" s="9" t="s">
        <v>46</v>
      </c>
      <c r="C10" s="9">
        <v>3</v>
      </c>
      <c r="D10" s="9">
        <v>1</v>
      </c>
      <c r="E10" s="9" t="s">
        <v>47</v>
      </c>
      <c r="F10" s="9" t="s">
        <f>MID(E10,3,2)</f>
        <v/>
      </c>
      <c r="G10" s="9" t="s">
        <f>MID(E10,5,16)</f>
        <v/>
      </c>
      <c r="H10" s="9" t="s">
        <f>MID(E10,21,4)</f>
        <v/>
      </c>
      <c r="I10" s="10">
        <v>46042.4502797338</v>
      </c>
      <c r="J10" s="9" t="s">
        <v>0</v>
      </c>
      <c r="K10" s="9" t="s">
        <v>0</v>
      </c>
      <c r="L10" s="9">
        <f>COUNTIF(B:B,$B10)</f>
        <v/>
      </c>
      <c r="M10" s="9" t="s">
        <v>0</v>
      </c>
      <c r="N10" s="10">
        <v>46042.45101464121</v>
      </c>
      <c r="O10" s="9" t="s">
        <v>48</v>
      </c>
      <c r="P10" s="9" t="s">
        <f>MID(O10,3,2)</f>
        <v/>
      </c>
      <c r="Q10" s="9" t="s">
        <f>MID(O10,7,16)</f>
        <v/>
      </c>
      <c r="R10" s="9" t="s">
        <f>MID(O10,23,4)</f>
        <v/>
      </c>
      <c r="S10" s="10">
        <v>46042.45101467593</v>
      </c>
      <c r="T10" s="9" t="s">
        <v>31</v>
      </c>
      <c r="U10" s="9">
        <f>IF(ISNUMBER(N10),ROUND((N10-I10)*86400,0),"No Reply")</f>
        <v/>
      </c>
      <c r="V10" s="9" t="s">
        <f>IF(ISNUMBER(U10),TEXT(FLOOR(U10,30),"000")&amp;"~"&amp;TEXT(CEILING(U10,30),"000"),"")</f>
        <v/>
      </c>
    </row>
    <row r="11">
      <c r="A11" s="9" t="s">
        <v>39</v>
      </c>
      <c r="B11" s="9" t="s">
        <v>49</v>
      </c>
      <c r="C11" s="9">
        <v>4</v>
      </c>
      <c r="D11" s="9">
        <v>1</v>
      </c>
      <c r="E11" s="9" t="s">
        <v>50</v>
      </c>
      <c r="F11" s="9" t="s">
        <f>MID(E11,3,2)</f>
        <v/>
      </c>
      <c r="G11" s="9" t="s">
        <f>MID(E11,5,16)</f>
        <v/>
      </c>
      <c r="H11" s="9" t="s">
        <f>MID(E11,21,4)</f>
        <v/>
      </c>
      <c r="I11" s="10">
        <v>46042.451716041665</v>
      </c>
      <c r="J11" s="9" t="s">
        <v>0</v>
      </c>
      <c r="K11" s="9" t="s">
        <v>0</v>
      </c>
      <c r="L11" s="9">
        <f>COUNTIF(B:B,$B11)</f>
        <v/>
      </c>
      <c r="M11" s="9" t="s">
        <v>0</v>
      </c>
      <c r="N11" s="10">
        <v>46042.45243704861</v>
      </c>
      <c r="O11" s="9" t="s">
        <v>51</v>
      </c>
      <c r="P11" s="9" t="s">
        <f>MID(O11,3,2)</f>
        <v/>
      </c>
      <c r="Q11" s="9" t="s">
        <f>MID(O11,7,16)</f>
        <v/>
      </c>
      <c r="R11" s="9" t="s">
        <f>MID(O11,23,4)</f>
        <v/>
      </c>
      <c r="S11" s="10">
        <v>46042.45243707176</v>
      </c>
      <c r="T11" s="9" t="s">
        <v>38</v>
      </c>
      <c r="U11" s="9">
        <f>IF(ISNUMBER(N11),ROUND((N11-I11)*86400,0),"No Reply")</f>
        <v/>
      </c>
      <c r="V11" s="9" t="s">
        <f>IF(ISNUMBER(U11),TEXT(FLOOR(U11,30),"000")&amp;"~"&amp;TEXT(CEILING(U11,30),"000"),"")</f>
        <v/>
      </c>
    </row>
    <row r="12">
      <c r="A12" s="9" t="s">
        <v>39</v>
      </c>
      <c r="B12" s="9" t="s">
        <v>52</v>
      </c>
      <c r="C12" s="9">
        <v>5</v>
      </c>
      <c r="D12" s="9">
        <v>1</v>
      </c>
      <c r="E12" s="9" t="s">
        <v>53</v>
      </c>
      <c r="F12" s="9" t="s">
        <f>MID(E12,3,2)</f>
        <v/>
      </c>
      <c r="G12" s="9" t="s">
        <f>MID(E12,5,16)</f>
        <v/>
      </c>
      <c r="H12" s="9" t="s">
        <f>MID(E12,21,4)</f>
        <v/>
      </c>
      <c r="I12" s="10">
        <v>46042.453140949074</v>
      </c>
      <c r="J12" s="9" t="s">
        <v>0</v>
      </c>
      <c r="K12" s="9" t="s">
        <v>0</v>
      </c>
      <c r="L12" s="9">
        <f>COUNTIF(B:B,$B12)</f>
        <v/>
      </c>
      <c r="M12" s="9" t="s">
        <v>0</v>
      </c>
      <c r="N12" s="10">
        <v>46042.453859340276</v>
      </c>
      <c r="O12" s="9" t="s">
        <v>54</v>
      </c>
      <c r="P12" s="9" t="s">
        <f>MID(O12,3,2)</f>
        <v/>
      </c>
      <c r="Q12" s="9" t="s">
        <f>MID(O12,7,16)</f>
        <v/>
      </c>
      <c r="R12" s="9" t="s">
        <f>MID(O12,23,4)</f>
        <v/>
      </c>
      <c r="S12" s="10">
        <v>46042.453859375</v>
      </c>
      <c r="T12" s="9" t="s">
        <v>55</v>
      </c>
      <c r="U12" s="9">
        <f>IF(ISNUMBER(N12),ROUND((N12-I12)*86400,0),"No Reply")</f>
        <v/>
      </c>
      <c r="V12" s="9" t="s">
        <f>IF(ISNUMBER(U12),TEXT(FLOOR(U12,30),"000")&amp;"~"&amp;TEXT(CEILING(U12,30),"000"),"")</f>
        <v/>
      </c>
    </row>
  </sheetData>
  <mergeCells>
    <mergeCell ref="E1:I1"/>
    <mergeCell ref="J1:M1"/>
    <mergeCell ref="N1:R1"/>
    <mergeCell ref="S1:T1"/>
    <mergeCell ref="U1:V1"/>
  </mergeCells>
  <conditionalFormatting sqref="A3:V12">
    <cfRule type="expression" dxfId="0" priority="1" aboveAverage="1">
      <formula>MOD($C3,2)=1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28" customWidth="1"/>
    <col min="2" max="2" width="14" customWidth="1"/>
    <col min="3" max="6" width="10" customWidth="1"/>
  </cols>
  <sheetData>
    <row r="1">
      <c r="A1" s="11" t="s">
        <v>6</v>
      </c>
      <c r="B1" s="11" t="s">
        <v>5</v>
      </c>
      <c r="C1" s="11" t="s">
        <v>56</v>
      </c>
      <c r="D1" s="11" t="s">
        <v>57</v>
      </c>
      <c r="E1" s="11" t="s">
        <v>58</v>
      </c>
      <c r="F1" s="11" t="s">
        <v>59</v>
      </c>
    </row>
    <row r="2">
      <c r="A2" s="14" t="s">
        <v>19</v>
      </c>
      <c r="B2" s="12" t="s">
        <v>60</v>
      </c>
      <c r="C2" s="13">
        <v>1</v>
      </c>
      <c r="D2" s="13">
        <v>67</v>
      </c>
      <c r="E2" s="13">
        <v>67</v>
      </c>
      <c r="F2" s="13">
        <v>67</v>
      </c>
    </row>
    <row r="3">
      <c r="A3" s="12" t="s">
        <v>0</v>
      </c>
      <c r="B3" s="12" t="s">
        <v>61</v>
      </c>
      <c r="C3" s="13">
        <v>2</v>
      </c>
      <c r="D3" s="13">
        <v>111</v>
      </c>
      <c r="E3" s="13">
        <v>108</v>
      </c>
      <c r="F3" s="13">
        <v>113</v>
      </c>
    </row>
    <row r="4">
      <c r="A4" s="12" t="s">
        <v>0</v>
      </c>
      <c r="B4" s="12" t="s">
        <v>62</v>
      </c>
      <c r="C4" s="13">
        <v>1</v>
      </c>
      <c r="D4" s="13">
        <v>172</v>
      </c>
      <c r="E4" s="13">
        <v>172</v>
      </c>
      <c r="F4" s="13">
        <v>172</v>
      </c>
    </row>
    <row r="5">
      <c r="A5" s="12" t="s">
        <v>0</v>
      </c>
      <c r="B5" s="12" t="s">
        <v>63</v>
      </c>
      <c r="C5" s="13">
        <v>1</v>
      </c>
      <c r="D5" s="13">
        <v>236</v>
      </c>
      <c r="E5" s="13">
        <v>236</v>
      </c>
      <c r="F5" s="13">
        <v>236</v>
      </c>
    </row>
    <row r="6">
      <c r="A6" s="15" t="s">
        <v>0</v>
      </c>
      <c r="B6" s="15" t="s">
        <v>64</v>
      </c>
      <c r="C6" s="16">
        <f>SUM(C2:C5)</f>
        <v/>
      </c>
      <c r="D6" s="15" t="s">
        <v>0</v>
      </c>
      <c r="E6" s="15" t="s">
        <v>0</v>
      </c>
      <c r="F6" s="15" t="s">
        <v>0</v>
      </c>
    </row>
    <row r="8">
      <c r="A8" s="14" t="s">
        <v>39</v>
      </c>
      <c r="B8" s="12" t="s">
        <v>65</v>
      </c>
      <c r="C8" s="13">
        <v>1</v>
      </c>
      <c r="D8" s="13">
        <v>2</v>
      </c>
      <c r="E8" s="13">
        <v>2</v>
      </c>
      <c r="F8" s="13">
        <v>2</v>
      </c>
    </row>
    <row r="9">
      <c r="A9" s="12" t="s">
        <v>0</v>
      </c>
      <c r="B9" s="12" t="s">
        <v>60</v>
      </c>
      <c r="C9" s="13">
        <v>4</v>
      </c>
      <c r="D9" s="13">
        <v>62</v>
      </c>
      <c r="E9" s="13">
        <v>62</v>
      </c>
      <c r="F9" s="13">
        <v>63</v>
      </c>
    </row>
    <row r="10">
      <c r="A10" s="15" t="s">
        <v>0</v>
      </c>
      <c r="B10" s="15" t="s">
        <v>64</v>
      </c>
      <c r="C10" s="16">
        <f>SUM(C8:C9)</f>
        <v/>
      </c>
      <c r="D10" s="15" t="s">
        <v>0</v>
      </c>
      <c r="E10" s="15" t="s">
        <v>0</v>
      </c>
      <c r="F10" s="15" t="s">
        <v>0</v>
      </c>
    </row>
    <row r="12">
      <c r="A12" s="17" t="s">
        <v>66</v>
      </c>
      <c r="B12" s="17" t="s">
        <v>0</v>
      </c>
      <c r="C12" s="18">
        <f>SUM(C6,C10)</f>
        <v/>
      </c>
      <c r="D12" s="17" t="s">
        <v>0</v>
      </c>
      <c r="E12" s="17" t="s">
        <v>0</v>
      </c>
      <c r="F12" s="1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81"/>
  <sheetViews>
    <sheetView showRuler="1" showOutlineSymbols="1" defaultGridColor="1" colorId="64" zoomScale="100" workbookViewId="0"/>
  </sheetViews>
  <sheetFormatPr defaultColWidth="8.43" defaultRowHeight="15"/>
  <cols>
    <col min="1" max="1" width="25.35" bestFit="1" customWidth="1"/>
    <col min="2" max="2" width="23.25" bestFit="1" customWidth="1"/>
    <col min="3" max="3" width="8.850000000000001" bestFit="1" customWidth="1"/>
    <col min="4" max="4" width="39.15" bestFit="1" customWidth="1"/>
    <col min="5" max="5" width="6.6000000000000005" bestFit="1" customWidth="1"/>
    <col min="6" max="6" width="7.3500000000000005" bestFit="1" customWidth="1"/>
    <col min="7" max="7" width="39.00000000000001" bestFit="1" customWidth="1"/>
    <col min="8" max="8" width="8.1" bestFit="1" customWidth="1"/>
    <col min="9" max="9" width="9.450000000000001" bestFit="1" customWidth="1"/>
    <col min="10" max="10" width="33.9" bestFit="1" customWidth="1"/>
    <col min="11" max="11" width="109.65" bestFit="1" customWidth="1"/>
    <col min="12" max="12" width="12.75" bestFit="1" customWidth="1"/>
    <col min="13" max="13" width="11.1" bestFit="1" customWidth="1"/>
    <col min="14" max="14" width="18.6" bestFit="1" customWidth="1"/>
    <col min="15" max="15" width="5.7" bestFit="1" customWidth="1"/>
    <col min="16" max="16" width="14.700000000000001" bestFit="1" customWidth="1"/>
    <col min="17" max="17" width="39.45" bestFit="1" customWidth="1"/>
  </cols>
  <sheetData>
    <row r="1">
      <c r="A1" s="0" t="s">
        <v>6</v>
      </c>
      <c r="B1" s="0" t="s">
        <v>67</v>
      </c>
      <c r="C1" s="0" t="s">
        <v>68</v>
      </c>
      <c r="D1" s="0" t="s">
        <v>69</v>
      </c>
      <c r="E1" s="0" t="s">
        <v>8</v>
      </c>
      <c r="F1" s="0" t="s">
        <v>70</v>
      </c>
      <c r="G1" s="0" t="s">
        <v>7</v>
      </c>
      <c r="H1" s="0" t="s">
        <v>9</v>
      </c>
      <c r="I1" s="0" t="s">
        <v>71</v>
      </c>
      <c r="J1" s="0" t="s">
        <v>72</v>
      </c>
      <c r="K1" s="0" t="s">
        <v>10</v>
      </c>
      <c r="L1" s="0" t="s">
        <v>73</v>
      </c>
      <c r="M1" s="0" t="s">
        <v>11</v>
      </c>
      <c r="N1" s="0" t="s">
        <v>12</v>
      </c>
      <c r="O1" s="0" t="s">
        <v>13</v>
      </c>
      <c r="P1" s="0" t="s">
        <v>74</v>
      </c>
      <c r="Q1" s="0" t="s">
        <v>75</v>
      </c>
    </row>
    <row r="2">
      <c r="A2" s="0" t="s">
        <v>19</v>
      </c>
      <c r="B2" s="0" t="s">
        <v>76</v>
      </c>
      <c r="C2" s="0" t="s">
        <v>77</v>
      </c>
      <c r="D2" s="0" t="s">
        <v>78</v>
      </c>
      <c r="E2" s="0" t="s">
        <v>79</v>
      </c>
      <c r="F2" s="0" t="s">
        <v>79</v>
      </c>
      <c r="G2" s="0" t="s">
        <v>20</v>
      </c>
      <c r="H2" s="0" t="s">
        <v>79</v>
      </c>
      <c r="I2" s="0" t="s">
        <v>79</v>
      </c>
      <c r="J2" s="0" t="s">
        <v>80</v>
      </c>
      <c r="K2" s="0" t="s">
        <v>21</v>
      </c>
      <c r="L2" s="0" t="s">
        <v>81</v>
      </c>
      <c r="M2" s="0" t="s">
        <v>82</v>
      </c>
      <c r="N2" s="0" t="s">
        <v>83</v>
      </c>
      <c r="O2" s="0" t="s">
        <v>84</v>
      </c>
      <c r="P2" s="0" t="s">
        <v>85</v>
      </c>
      <c r="Q2" s="0" t="s">
        <v>86</v>
      </c>
    </row>
    <row r="3">
      <c r="A3" s="0" t="s">
        <v>19</v>
      </c>
      <c r="B3" s="0" t="s">
        <v>87</v>
      </c>
      <c r="C3" s="0" t="s">
        <v>88</v>
      </c>
      <c r="D3" s="0" t="s">
        <v>89</v>
      </c>
      <c r="E3" s="0" t="s">
        <v>90</v>
      </c>
      <c r="F3" s="0" t="s">
        <v>90</v>
      </c>
      <c r="G3" s="0" t="s">
        <v>0</v>
      </c>
      <c r="H3" s="0" t="s">
        <v>90</v>
      </c>
      <c r="I3" s="0" t="s">
        <v>90</v>
      </c>
      <c r="J3" s="0" t="s">
        <v>91</v>
      </c>
      <c r="K3" s="0" t="s">
        <v>92</v>
      </c>
      <c r="L3" s="0" t="s">
        <v>92</v>
      </c>
      <c r="M3" s="0" t="s">
        <v>0</v>
      </c>
      <c r="N3" s="0" t="s">
        <v>0</v>
      </c>
      <c r="O3" s="0" t="s">
        <v>0</v>
      </c>
      <c r="P3" s="0" t="s">
        <v>0</v>
      </c>
      <c r="Q3" s="0" t="s">
        <v>0</v>
      </c>
    </row>
    <row r="4">
      <c r="A4" s="0" t="s">
        <v>19</v>
      </c>
      <c r="B4" s="0" t="s">
        <v>93</v>
      </c>
      <c r="C4" s="0" t="s">
        <v>88</v>
      </c>
      <c r="D4" s="0" t="s">
        <v>94</v>
      </c>
      <c r="E4" s="0" t="s">
        <v>90</v>
      </c>
      <c r="F4" s="0" t="s">
        <v>90</v>
      </c>
      <c r="G4" s="0" t="s">
        <v>0</v>
      </c>
      <c r="H4" s="0" t="s">
        <v>90</v>
      </c>
      <c r="I4" s="0" t="s">
        <v>90</v>
      </c>
      <c r="J4" s="0" t="s">
        <v>95</v>
      </c>
      <c r="K4" s="0" t="s">
        <v>92</v>
      </c>
      <c r="L4" s="0" t="s">
        <v>92</v>
      </c>
      <c r="M4" s="0" t="s">
        <v>0</v>
      </c>
      <c r="N4" s="0" t="s">
        <v>0</v>
      </c>
      <c r="O4" s="0" t="s">
        <v>0</v>
      </c>
      <c r="P4" s="0" t="s">
        <v>0</v>
      </c>
      <c r="Q4" s="0" t="s">
        <v>0</v>
      </c>
    </row>
    <row r="5">
      <c r="A5" s="0" t="s">
        <v>19</v>
      </c>
      <c r="B5" s="0" t="s">
        <v>96</v>
      </c>
      <c r="C5" s="0" t="s">
        <v>88</v>
      </c>
      <c r="D5" s="0" t="s">
        <v>97</v>
      </c>
      <c r="E5" s="0" t="s">
        <v>98</v>
      </c>
      <c r="F5" s="0" t="s">
        <v>90</v>
      </c>
      <c r="G5" s="0" t="s">
        <v>20</v>
      </c>
      <c r="H5" s="0" t="s">
        <v>90</v>
      </c>
      <c r="I5" s="0" t="s">
        <v>90</v>
      </c>
      <c r="J5" s="0" t="s">
        <v>99</v>
      </c>
      <c r="K5" s="0" t="s">
        <v>22</v>
      </c>
      <c r="L5" s="0" t="s">
        <v>100</v>
      </c>
      <c r="M5" s="0" t="s">
        <v>82</v>
      </c>
      <c r="N5" s="0" t="s">
        <v>83</v>
      </c>
      <c r="O5" s="0" t="s">
        <v>84</v>
      </c>
      <c r="P5" s="0" t="s">
        <v>85</v>
      </c>
      <c r="Q5" s="0" t="s">
        <v>86</v>
      </c>
    </row>
    <row r="6">
      <c r="A6" s="0" t="s">
        <v>19</v>
      </c>
      <c r="B6" s="0" t="s">
        <v>101</v>
      </c>
      <c r="C6" s="0" t="s">
        <v>88</v>
      </c>
      <c r="D6" s="0" t="s">
        <v>78</v>
      </c>
      <c r="E6" s="0" t="s">
        <v>98</v>
      </c>
      <c r="F6" s="0" t="s">
        <v>98</v>
      </c>
      <c r="G6" s="0" t="s">
        <v>20</v>
      </c>
      <c r="H6" s="0" t="s">
        <v>79</v>
      </c>
      <c r="I6" s="0" t="s">
        <v>79</v>
      </c>
      <c r="J6" s="0" t="s">
        <v>102</v>
      </c>
      <c r="K6" s="0" t="s">
        <v>23</v>
      </c>
      <c r="L6" s="0" t="s">
        <v>103</v>
      </c>
      <c r="M6" s="0" t="s">
        <v>0</v>
      </c>
      <c r="N6" s="0" t="s">
        <v>0</v>
      </c>
      <c r="O6" s="0" t="s">
        <v>0</v>
      </c>
      <c r="P6" s="0" t="s">
        <v>0</v>
      </c>
      <c r="Q6" s="0" t="s">
        <v>0</v>
      </c>
    </row>
    <row r="7">
      <c r="A7" s="0" t="s">
        <v>19</v>
      </c>
      <c r="B7" s="0" t="s">
        <v>104</v>
      </c>
      <c r="C7" s="0" t="s">
        <v>77</v>
      </c>
      <c r="D7" s="0" t="s">
        <v>105</v>
      </c>
      <c r="E7" s="0" t="s">
        <v>106</v>
      </c>
      <c r="F7" s="0" t="s">
        <v>106</v>
      </c>
      <c r="G7" s="0" t="s">
        <v>107</v>
      </c>
      <c r="H7" s="0" t="s">
        <v>79</v>
      </c>
      <c r="I7" s="0" t="s">
        <v>79</v>
      </c>
      <c r="J7" s="0" t="s">
        <v>108</v>
      </c>
      <c r="K7" s="0" t="s">
        <v>109</v>
      </c>
      <c r="L7" s="0" t="s">
        <v>110</v>
      </c>
      <c r="M7" s="0" t="s">
        <v>0</v>
      </c>
      <c r="N7" s="0" t="s">
        <v>0</v>
      </c>
      <c r="O7" s="0" t="s">
        <v>0</v>
      </c>
      <c r="P7" s="0" t="s">
        <v>0</v>
      </c>
      <c r="Q7" s="0" t="s">
        <v>0</v>
      </c>
    </row>
    <row r="8">
      <c r="A8" s="0" t="s">
        <v>19</v>
      </c>
      <c r="B8" s="0" t="s">
        <v>111</v>
      </c>
      <c r="C8" s="0" t="s">
        <v>88</v>
      </c>
      <c r="D8" s="0" t="s">
        <v>112</v>
      </c>
      <c r="E8" s="0" t="s">
        <v>90</v>
      </c>
      <c r="F8" s="0" t="s">
        <v>90</v>
      </c>
      <c r="G8" s="0" t="s">
        <v>0</v>
      </c>
      <c r="H8" s="0" t="s">
        <v>90</v>
      </c>
      <c r="I8" s="0" t="s">
        <v>90</v>
      </c>
      <c r="J8" s="0" t="s">
        <v>113</v>
      </c>
      <c r="K8" s="0" t="s">
        <v>92</v>
      </c>
      <c r="L8" s="0" t="s">
        <v>92</v>
      </c>
      <c r="M8" s="0" t="s">
        <v>0</v>
      </c>
      <c r="N8" s="0" t="s">
        <v>0</v>
      </c>
      <c r="O8" s="0" t="s">
        <v>0</v>
      </c>
      <c r="P8" s="0" t="s">
        <v>0</v>
      </c>
      <c r="Q8" s="0" t="s">
        <v>0</v>
      </c>
    </row>
    <row r="9">
      <c r="A9" s="0" t="s">
        <v>19</v>
      </c>
      <c r="B9" s="0" t="s">
        <v>114</v>
      </c>
      <c r="C9" s="0" t="s">
        <v>88</v>
      </c>
      <c r="D9" s="0" t="s">
        <v>105</v>
      </c>
      <c r="E9" s="0" t="s">
        <v>106</v>
      </c>
      <c r="F9" s="0" t="s">
        <v>106</v>
      </c>
      <c r="G9" s="0" t="s">
        <v>107</v>
      </c>
      <c r="H9" s="0" t="s">
        <v>79</v>
      </c>
      <c r="I9" s="0" t="s">
        <v>79</v>
      </c>
      <c r="J9" s="0" t="s">
        <v>113</v>
      </c>
      <c r="K9" s="0" t="s">
        <v>92</v>
      </c>
      <c r="L9" s="0" t="s">
        <v>92</v>
      </c>
      <c r="M9" s="0" t="s">
        <v>0</v>
      </c>
      <c r="N9" s="0" t="s">
        <v>0</v>
      </c>
      <c r="O9" s="0" t="s">
        <v>0</v>
      </c>
      <c r="P9" s="0" t="s">
        <v>0</v>
      </c>
      <c r="Q9" s="0" t="s">
        <v>0</v>
      </c>
    </row>
    <row r="10">
      <c r="A10" s="0" t="s">
        <v>19</v>
      </c>
      <c r="B10" s="0" t="s">
        <v>115</v>
      </c>
      <c r="C10" s="0" t="s">
        <v>77</v>
      </c>
      <c r="D10" s="0" t="s">
        <v>116</v>
      </c>
      <c r="E10" s="0" t="s">
        <v>117</v>
      </c>
      <c r="F10" s="0" t="s">
        <v>117</v>
      </c>
      <c r="G10" s="0" t="s">
        <v>24</v>
      </c>
      <c r="H10" s="0" t="s">
        <v>79</v>
      </c>
      <c r="I10" s="0" t="s">
        <v>79</v>
      </c>
      <c r="J10" s="0" t="s">
        <v>118</v>
      </c>
      <c r="K10" s="0" t="s">
        <v>25</v>
      </c>
      <c r="L10" s="0" t="s">
        <v>81</v>
      </c>
      <c r="M10" s="0" t="s">
        <v>119</v>
      </c>
      <c r="N10" s="0" t="s">
        <v>120</v>
      </c>
      <c r="O10" s="0" t="s">
        <v>121</v>
      </c>
      <c r="P10" s="0" t="s">
        <v>122</v>
      </c>
      <c r="Q10" s="0" t="s">
        <v>123</v>
      </c>
    </row>
    <row r="11">
      <c r="A11" s="0" t="s">
        <v>19</v>
      </c>
      <c r="B11" s="0" t="s">
        <v>124</v>
      </c>
      <c r="C11" s="0" t="s">
        <v>88</v>
      </c>
      <c r="D11" s="0" t="s">
        <v>125</v>
      </c>
      <c r="E11" s="0" t="s">
        <v>90</v>
      </c>
      <c r="F11" s="0" t="s">
        <v>90</v>
      </c>
      <c r="G11" s="0" t="s">
        <v>0</v>
      </c>
      <c r="H11" s="0" t="s">
        <v>90</v>
      </c>
      <c r="I11" s="0" t="s">
        <v>90</v>
      </c>
      <c r="J11" s="0" t="s">
        <v>91</v>
      </c>
      <c r="K11" s="0" t="s">
        <v>92</v>
      </c>
      <c r="L11" s="0" t="s">
        <v>92</v>
      </c>
      <c r="M11" s="0" t="s">
        <v>0</v>
      </c>
      <c r="N11" s="0" t="s">
        <v>0</v>
      </c>
      <c r="O11" s="0" t="s">
        <v>0</v>
      </c>
      <c r="P11" s="0" t="s">
        <v>0</v>
      </c>
      <c r="Q11" s="0" t="s">
        <v>0</v>
      </c>
    </row>
    <row r="12">
      <c r="A12" s="0" t="s">
        <v>19</v>
      </c>
      <c r="B12" s="0" t="s">
        <v>126</v>
      </c>
      <c r="C12" s="0" t="s">
        <v>88</v>
      </c>
      <c r="D12" s="0" t="s">
        <v>127</v>
      </c>
      <c r="E12" s="0" t="s">
        <v>90</v>
      </c>
      <c r="F12" s="0" t="s">
        <v>90</v>
      </c>
      <c r="G12" s="0" t="s">
        <v>0</v>
      </c>
      <c r="H12" s="0" t="s">
        <v>90</v>
      </c>
      <c r="I12" s="0" t="s">
        <v>90</v>
      </c>
      <c r="J12" s="0" t="s">
        <v>95</v>
      </c>
      <c r="K12" s="0" t="s">
        <v>92</v>
      </c>
      <c r="L12" s="0" t="s">
        <v>92</v>
      </c>
      <c r="M12" s="0" t="s">
        <v>0</v>
      </c>
      <c r="N12" s="0" t="s">
        <v>0</v>
      </c>
      <c r="O12" s="0" t="s">
        <v>0</v>
      </c>
      <c r="P12" s="0" t="s">
        <v>0</v>
      </c>
      <c r="Q12" s="0" t="s">
        <v>0</v>
      </c>
    </row>
    <row r="13">
      <c r="A13" s="0" t="s">
        <v>19</v>
      </c>
      <c r="B13" s="0" t="s">
        <v>128</v>
      </c>
      <c r="C13" s="0" t="s">
        <v>88</v>
      </c>
      <c r="D13" s="0" t="s">
        <v>129</v>
      </c>
      <c r="E13" s="0" t="s">
        <v>130</v>
      </c>
      <c r="F13" s="0" t="s">
        <v>90</v>
      </c>
      <c r="G13" s="0" t="s">
        <v>24</v>
      </c>
      <c r="H13" s="0" t="s">
        <v>90</v>
      </c>
      <c r="I13" s="0" t="s">
        <v>90</v>
      </c>
      <c r="J13" s="0" t="s">
        <v>131</v>
      </c>
      <c r="K13" s="0" t="s">
        <v>26</v>
      </c>
      <c r="L13" s="0" t="s">
        <v>100</v>
      </c>
      <c r="M13" s="0" t="s">
        <v>119</v>
      </c>
      <c r="N13" s="0" t="s">
        <v>120</v>
      </c>
      <c r="O13" s="0" t="s">
        <v>121</v>
      </c>
      <c r="P13" s="0" t="s">
        <v>122</v>
      </c>
      <c r="Q13" s="0" t="s">
        <v>123</v>
      </c>
    </row>
    <row r="14">
      <c r="A14" s="0" t="s">
        <v>19</v>
      </c>
      <c r="B14" s="0" t="s">
        <v>132</v>
      </c>
      <c r="C14" s="0" t="s">
        <v>88</v>
      </c>
      <c r="D14" s="0" t="s">
        <v>116</v>
      </c>
      <c r="E14" s="0" t="s">
        <v>130</v>
      </c>
      <c r="F14" s="0" t="s">
        <v>130</v>
      </c>
      <c r="G14" s="0" t="s">
        <v>24</v>
      </c>
      <c r="H14" s="0" t="s">
        <v>79</v>
      </c>
      <c r="I14" s="0" t="s">
        <v>79</v>
      </c>
      <c r="J14" s="0" t="s">
        <v>133</v>
      </c>
      <c r="K14" s="0" t="s">
        <v>27</v>
      </c>
      <c r="L14" s="0" t="s">
        <v>103</v>
      </c>
      <c r="M14" s="0" t="s">
        <v>0</v>
      </c>
      <c r="N14" s="0" t="s">
        <v>0</v>
      </c>
      <c r="O14" s="0" t="s">
        <v>0</v>
      </c>
      <c r="P14" s="0" t="s">
        <v>0</v>
      </c>
      <c r="Q14" s="0" t="s">
        <v>0</v>
      </c>
    </row>
    <row r="15">
      <c r="A15" s="0" t="s">
        <v>19</v>
      </c>
      <c r="B15" s="0" t="s">
        <v>134</v>
      </c>
      <c r="C15" s="0" t="s">
        <v>77</v>
      </c>
      <c r="D15" s="0" t="s">
        <v>135</v>
      </c>
      <c r="E15" s="0" t="s">
        <v>136</v>
      </c>
      <c r="F15" s="0" t="s">
        <v>136</v>
      </c>
      <c r="G15" s="0" t="s">
        <v>137</v>
      </c>
      <c r="H15" s="0" t="s">
        <v>79</v>
      </c>
      <c r="I15" s="0" t="s">
        <v>79</v>
      </c>
      <c r="J15" s="0" t="s">
        <v>138</v>
      </c>
      <c r="K15" s="0" t="s">
        <v>139</v>
      </c>
      <c r="L15" s="0" t="s">
        <v>110</v>
      </c>
      <c r="M15" s="0" t="s">
        <v>0</v>
      </c>
      <c r="N15" s="0" t="s">
        <v>0</v>
      </c>
      <c r="O15" s="0" t="s">
        <v>0</v>
      </c>
      <c r="P15" s="0" t="s">
        <v>0</v>
      </c>
      <c r="Q15" s="0" t="s">
        <v>0</v>
      </c>
    </row>
    <row r="16">
      <c r="A16" s="0" t="s">
        <v>19</v>
      </c>
      <c r="B16" s="0" t="s">
        <v>140</v>
      </c>
      <c r="C16" s="0" t="s">
        <v>88</v>
      </c>
      <c r="D16" s="0" t="s">
        <v>141</v>
      </c>
      <c r="E16" s="0" t="s">
        <v>90</v>
      </c>
      <c r="F16" s="0" t="s">
        <v>90</v>
      </c>
      <c r="G16" s="0" t="s">
        <v>0</v>
      </c>
      <c r="H16" s="0" t="s">
        <v>90</v>
      </c>
      <c r="I16" s="0" t="s">
        <v>90</v>
      </c>
      <c r="J16" s="0" t="s">
        <v>142</v>
      </c>
      <c r="K16" s="0" t="s">
        <v>92</v>
      </c>
      <c r="L16" s="0" t="s">
        <v>92</v>
      </c>
      <c r="M16" s="0" t="s">
        <v>0</v>
      </c>
      <c r="N16" s="0" t="s">
        <v>0</v>
      </c>
      <c r="O16" s="0" t="s">
        <v>0</v>
      </c>
      <c r="P16" s="0" t="s">
        <v>0</v>
      </c>
      <c r="Q16" s="0" t="s">
        <v>0</v>
      </c>
    </row>
    <row r="17">
      <c r="A17" s="0" t="s">
        <v>19</v>
      </c>
      <c r="B17" s="0" t="s">
        <v>143</v>
      </c>
      <c r="C17" s="0" t="s">
        <v>88</v>
      </c>
      <c r="D17" s="0" t="s">
        <v>135</v>
      </c>
      <c r="E17" s="0" t="s">
        <v>136</v>
      </c>
      <c r="F17" s="0" t="s">
        <v>136</v>
      </c>
      <c r="G17" s="0" t="s">
        <v>137</v>
      </c>
      <c r="H17" s="0" t="s">
        <v>79</v>
      </c>
      <c r="I17" s="0" t="s">
        <v>79</v>
      </c>
      <c r="J17" s="0" t="s">
        <v>142</v>
      </c>
      <c r="K17" s="0" t="s">
        <v>92</v>
      </c>
      <c r="L17" s="0" t="s">
        <v>92</v>
      </c>
      <c r="M17" s="0" t="s">
        <v>0</v>
      </c>
      <c r="N17" s="0" t="s">
        <v>0</v>
      </c>
      <c r="O17" s="0" t="s">
        <v>0</v>
      </c>
      <c r="P17" s="0" t="s">
        <v>0</v>
      </c>
      <c r="Q17" s="0" t="s">
        <v>0</v>
      </c>
    </row>
    <row r="18">
      <c r="A18" s="0" t="s">
        <v>19</v>
      </c>
      <c r="B18" s="0" t="s">
        <v>144</v>
      </c>
      <c r="C18" s="0" t="s">
        <v>77</v>
      </c>
      <c r="D18" s="0" t="s">
        <v>145</v>
      </c>
      <c r="E18" s="0" t="s">
        <v>146</v>
      </c>
      <c r="F18" s="0" t="s">
        <v>146</v>
      </c>
      <c r="G18" s="0" t="s">
        <v>28</v>
      </c>
      <c r="H18" s="0" t="s">
        <v>79</v>
      </c>
      <c r="I18" s="0" t="s">
        <v>79</v>
      </c>
      <c r="J18" s="0" t="s">
        <v>147</v>
      </c>
      <c r="K18" s="0" t="s">
        <v>29</v>
      </c>
      <c r="L18" s="0" t="s">
        <v>81</v>
      </c>
      <c r="M18" s="0" t="s">
        <v>148</v>
      </c>
      <c r="N18" s="0" t="s">
        <v>149</v>
      </c>
      <c r="O18" s="0" t="s">
        <v>150</v>
      </c>
      <c r="P18" s="0" t="s">
        <v>151</v>
      </c>
      <c r="Q18" s="0" t="s">
        <v>152</v>
      </c>
    </row>
    <row r="19">
      <c r="A19" s="0" t="s">
        <v>19</v>
      </c>
      <c r="B19" s="0" t="s">
        <v>153</v>
      </c>
      <c r="C19" s="0" t="s">
        <v>88</v>
      </c>
      <c r="D19" s="0" t="s">
        <v>154</v>
      </c>
      <c r="E19" s="0" t="s">
        <v>90</v>
      </c>
      <c r="F19" s="0" t="s">
        <v>90</v>
      </c>
      <c r="G19" s="0" t="s">
        <v>0</v>
      </c>
      <c r="H19" s="0" t="s">
        <v>90</v>
      </c>
      <c r="I19" s="0" t="s">
        <v>90</v>
      </c>
      <c r="J19" s="0" t="s">
        <v>91</v>
      </c>
      <c r="K19" s="0" t="s">
        <v>92</v>
      </c>
      <c r="L19" s="0" t="s">
        <v>92</v>
      </c>
      <c r="M19" s="0" t="s">
        <v>0</v>
      </c>
      <c r="N19" s="0" t="s">
        <v>0</v>
      </c>
      <c r="O19" s="0" t="s">
        <v>0</v>
      </c>
      <c r="P19" s="0" t="s">
        <v>0</v>
      </c>
      <c r="Q19" s="0" t="s">
        <v>0</v>
      </c>
    </row>
    <row r="20">
      <c r="A20" s="0" t="s">
        <v>19</v>
      </c>
      <c r="B20" s="0" t="s">
        <v>155</v>
      </c>
      <c r="C20" s="0" t="s">
        <v>88</v>
      </c>
      <c r="D20" s="0" t="s">
        <v>156</v>
      </c>
      <c r="E20" s="0" t="s">
        <v>157</v>
      </c>
      <c r="F20" s="0" t="s">
        <v>90</v>
      </c>
      <c r="G20" s="0" t="s">
        <v>28</v>
      </c>
      <c r="H20" s="0" t="s">
        <v>90</v>
      </c>
      <c r="I20" s="0" t="s">
        <v>90</v>
      </c>
      <c r="J20" s="0" t="s">
        <v>158</v>
      </c>
      <c r="K20" s="0" t="s">
        <v>30</v>
      </c>
      <c r="L20" s="0" t="s">
        <v>100</v>
      </c>
      <c r="M20" s="0" t="s">
        <v>148</v>
      </c>
      <c r="N20" s="0" t="s">
        <v>149</v>
      </c>
      <c r="O20" s="0" t="s">
        <v>150</v>
      </c>
      <c r="P20" s="0" t="s">
        <v>151</v>
      </c>
      <c r="Q20" s="0" t="s">
        <v>152</v>
      </c>
    </row>
    <row r="21">
      <c r="A21" s="0" t="s">
        <v>19</v>
      </c>
      <c r="B21" s="0" t="s">
        <v>159</v>
      </c>
      <c r="C21" s="0" t="s">
        <v>88</v>
      </c>
      <c r="D21" s="0" t="s">
        <v>145</v>
      </c>
      <c r="E21" s="0" t="s">
        <v>157</v>
      </c>
      <c r="F21" s="0" t="s">
        <v>157</v>
      </c>
      <c r="G21" s="0" t="s">
        <v>28</v>
      </c>
      <c r="H21" s="0" t="s">
        <v>79</v>
      </c>
      <c r="I21" s="0" t="s">
        <v>79</v>
      </c>
      <c r="J21" s="0" t="s">
        <v>160</v>
      </c>
      <c r="K21" s="0" t="s">
        <v>31</v>
      </c>
      <c r="L21" s="0" t="s">
        <v>103</v>
      </c>
      <c r="M21" s="0" t="s">
        <v>0</v>
      </c>
      <c r="N21" s="0" t="s">
        <v>0</v>
      </c>
      <c r="O21" s="0" t="s">
        <v>0</v>
      </c>
      <c r="P21" s="0" t="s">
        <v>0</v>
      </c>
      <c r="Q21" s="0" t="s">
        <v>0</v>
      </c>
    </row>
    <row r="22">
      <c r="A22" s="0" t="s">
        <v>19</v>
      </c>
      <c r="B22" s="0" t="s">
        <v>161</v>
      </c>
      <c r="C22" s="0" t="s">
        <v>77</v>
      </c>
      <c r="D22" s="0" t="s">
        <v>162</v>
      </c>
      <c r="E22" s="0" t="s">
        <v>163</v>
      </c>
      <c r="F22" s="0" t="s">
        <v>163</v>
      </c>
      <c r="G22" s="0" t="s">
        <v>164</v>
      </c>
      <c r="H22" s="0" t="s">
        <v>79</v>
      </c>
      <c r="I22" s="0" t="s">
        <v>79</v>
      </c>
      <c r="J22" s="0" t="s">
        <v>165</v>
      </c>
      <c r="K22" s="0" t="s">
        <v>166</v>
      </c>
      <c r="L22" s="0" t="s">
        <v>110</v>
      </c>
      <c r="M22" s="0" t="s">
        <v>0</v>
      </c>
      <c r="N22" s="0" t="s">
        <v>0</v>
      </c>
      <c r="O22" s="0" t="s">
        <v>0</v>
      </c>
      <c r="P22" s="0" t="s">
        <v>0</v>
      </c>
      <c r="Q22" s="0" t="s">
        <v>0</v>
      </c>
    </row>
    <row r="23">
      <c r="A23" s="0" t="s">
        <v>19</v>
      </c>
      <c r="B23" s="0" t="s">
        <v>167</v>
      </c>
      <c r="C23" s="0" t="s">
        <v>88</v>
      </c>
      <c r="D23" s="0" t="s">
        <v>168</v>
      </c>
      <c r="E23" s="0" t="s">
        <v>90</v>
      </c>
      <c r="F23" s="0" t="s">
        <v>90</v>
      </c>
      <c r="G23" s="0" t="s">
        <v>0</v>
      </c>
      <c r="H23" s="0" t="s">
        <v>90</v>
      </c>
      <c r="I23" s="0" t="s">
        <v>90</v>
      </c>
      <c r="J23" s="0" t="s">
        <v>169</v>
      </c>
      <c r="K23" s="0" t="s">
        <v>92</v>
      </c>
      <c r="L23" s="0" t="s">
        <v>92</v>
      </c>
      <c r="M23" s="0" t="s">
        <v>0</v>
      </c>
      <c r="N23" s="0" t="s">
        <v>0</v>
      </c>
      <c r="O23" s="0" t="s">
        <v>0</v>
      </c>
      <c r="P23" s="0" t="s">
        <v>0</v>
      </c>
      <c r="Q23" s="0" t="s">
        <v>0</v>
      </c>
    </row>
    <row r="24">
      <c r="A24" s="0" t="s">
        <v>19</v>
      </c>
      <c r="B24" s="0" t="s">
        <v>170</v>
      </c>
      <c r="C24" s="0" t="s">
        <v>88</v>
      </c>
      <c r="D24" s="0" t="s">
        <v>162</v>
      </c>
      <c r="E24" s="0" t="s">
        <v>163</v>
      </c>
      <c r="F24" s="0" t="s">
        <v>163</v>
      </c>
      <c r="G24" s="0" t="s">
        <v>164</v>
      </c>
      <c r="H24" s="0" t="s">
        <v>79</v>
      </c>
      <c r="I24" s="0" t="s">
        <v>79</v>
      </c>
      <c r="J24" s="0" t="s">
        <v>169</v>
      </c>
      <c r="K24" s="0" t="s">
        <v>92</v>
      </c>
      <c r="L24" s="0" t="s">
        <v>92</v>
      </c>
      <c r="M24" s="0" t="s">
        <v>0</v>
      </c>
      <c r="N24" s="0" t="s">
        <v>0</v>
      </c>
      <c r="O24" s="0" t="s">
        <v>0</v>
      </c>
      <c r="P24" s="0" t="s">
        <v>0</v>
      </c>
      <c r="Q24" s="0" t="s">
        <v>0</v>
      </c>
    </row>
    <row r="25">
      <c r="A25" s="0" t="s">
        <v>19</v>
      </c>
      <c r="B25" s="0" t="s">
        <v>171</v>
      </c>
      <c r="C25" s="0" t="s">
        <v>77</v>
      </c>
      <c r="D25" s="0" t="s">
        <v>172</v>
      </c>
      <c r="E25" s="0" t="s">
        <v>173</v>
      </c>
      <c r="F25" s="0" t="s">
        <v>173</v>
      </c>
      <c r="G25" s="0" t="s">
        <v>32</v>
      </c>
      <c r="H25" s="0" t="s">
        <v>79</v>
      </c>
      <c r="I25" s="0" t="s">
        <v>79</v>
      </c>
      <c r="J25" s="0" t="s">
        <v>174</v>
      </c>
      <c r="K25" s="0" t="s">
        <v>33</v>
      </c>
      <c r="L25" s="0" t="s">
        <v>81</v>
      </c>
      <c r="M25" s="0" t="s">
        <v>175</v>
      </c>
      <c r="N25" s="0" t="s">
        <v>83</v>
      </c>
      <c r="O25" s="0" t="s">
        <v>84</v>
      </c>
      <c r="P25" s="0" t="s">
        <v>176</v>
      </c>
      <c r="Q25" s="0" t="s">
        <v>177</v>
      </c>
    </row>
    <row r="26">
      <c r="A26" s="0" t="s">
        <v>19</v>
      </c>
      <c r="B26" s="0" t="s">
        <v>178</v>
      </c>
      <c r="C26" s="0" t="s">
        <v>88</v>
      </c>
      <c r="D26" s="0" t="s">
        <v>179</v>
      </c>
      <c r="E26" s="0" t="s">
        <v>90</v>
      </c>
      <c r="F26" s="0" t="s">
        <v>90</v>
      </c>
      <c r="G26" s="0" t="s">
        <v>0</v>
      </c>
      <c r="H26" s="0" t="s">
        <v>90</v>
      </c>
      <c r="I26" s="0" t="s">
        <v>90</v>
      </c>
      <c r="J26" s="0" t="s">
        <v>91</v>
      </c>
      <c r="K26" s="0" t="s">
        <v>92</v>
      </c>
      <c r="L26" s="0" t="s">
        <v>92</v>
      </c>
      <c r="M26" s="0" t="s">
        <v>0</v>
      </c>
      <c r="N26" s="0" t="s">
        <v>0</v>
      </c>
      <c r="O26" s="0" t="s">
        <v>0</v>
      </c>
      <c r="P26" s="0" t="s">
        <v>0</v>
      </c>
      <c r="Q26" s="0" t="s">
        <v>0</v>
      </c>
    </row>
    <row r="27">
      <c r="A27" s="0" t="s">
        <v>19</v>
      </c>
      <c r="B27" s="0" t="s">
        <v>180</v>
      </c>
      <c r="C27" s="0" t="s">
        <v>88</v>
      </c>
      <c r="D27" s="0" t="s">
        <v>181</v>
      </c>
      <c r="E27" s="0" t="s">
        <v>182</v>
      </c>
      <c r="F27" s="0" t="s">
        <v>90</v>
      </c>
      <c r="G27" s="0" t="s">
        <v>28</v>
      </c>
      <c r="H27" s="0" t="s">
        <v>90</v>
      </c>
      <c r="I27" s="0" t="s">
        <v>90</v>
      </c>
      <c r="J27" s="0" t="s">
        <v>183</v>
      </c>
      <c r="K27" s="0" t="s">
        <v>30</v>
      </c>
      <c r="L27" s="0" t="s">
        <v>100</v>
      </c>
      <c r="M27" s="0" t="s">
        <v>148</v>
      </c>
      <c r="N27" s="0" t="s">
        <v>149</v>
      </c>
      <c r="O27" s="0" t="s">
        <v>150</v>
      </c>
      <c r="P27" s="0" t="s">
        <v>151</v>
      </c>
      <c r="Q27" s="0" t="s">
        <v>152</v>
      </c>
    </row>
    <row r="28">
      <c r="A28" s="0" t="s">
        <v>19</v>
      </c>
      <c r="B28" s="0" t="s">
        <v>184</v>
      </c>
      <c r="C28" s="0" t="s">
        <v>88</v>
      </c>
      <c r="D28" s="0" t="s">
        <v>172</v>
      </c>
      <c r="E28" s="0" t="s">
        <v>182</v>
      </c>
      <c r="F28" s="0" t="s">
        <v>182</v>
      </c>
      <c r="G28" s="0" t="s">
        <v>32</v>
      </c>
      <c r="H28" s="0" t="s">
        <v>79</v>
      </c>
      <c r="I28" s="0" t="s">
        <v>79</v>
      </c>
      <c r="J28" s="0" t="s">
        <v>185</v>
      </c>
      <c r="K28" s="0" t="s">
        <v>31</v>
      </c>
      <c r="L28" s="0" t="s">
        <v>103</v>
      </c>
      <c r="M28" s="0" t="s">
        <v>0</v>
      </c>
      <c r="N28" s="0" t="s">
        <v>0</v>
      </c>
      <c r="O28" s="0" t="s">
        <v>0</v>
      </c>
      <c r="P28" s="0" t="s">
        <v>0</v>
      </c>
      <c r="Q28" s="0" t="s">
        <v>0</v>
      </c>
    </row>
    <row r="29">
      <c r="A29" s="0" t="s">
        <v>19</v>
      </c>
      <c r="B29" s="0" t="s">
        <v>186</v>
      </c>
      <c r="C29" s="0" t="s">
        <v>77</v>
      </c>
      <c r="D29" s="0" t="s">
        <v>187</v>
      </c>
      <c r="E29" s="0" t="s">
        <v>188</v>
      </c>
      <c r="F29" s="0" t="s">
        <v>188</v>
      </c>
      <c r="G29" s="0" t="s">
        <v>189</v>
      </c>
      <c r="H29" s="0" t="s">
        <v>79</v>
      </c>
      <c r="I29" s="0" t="s">
        <v>79</v>
      </c>
      <c r="J29" s="0" t="s">
        <v>190</v>
      </c>
      <c r="K29" s="0" t="s">
        <v>191</v>
      </c>
      <c r="L29" s="0" t="s">
        <v>110</v>
      </c>
      <c r="M29" s="0" t="s">
        <v>0</v>
      </c>
      <c r="N29" s="0" t="s">
        <v>0</v>
      </c>
      <c r="O29" s="0" t="s">
        <v>0</v>
      </c>
      <c r="P29" s="0" t="s">
        <v>0</v>
      </c>
      <c r="Q29" s="0" t="s">
        <v>0</v>
      </c>
    </row>
    <row r="30">
      <c r="A30" s="0" t="s">
        <v>19</v>
      </c>
      <c r="B30" s="0" t="s">
        <v>192</v>
      </c>
      <c r="C30" s="0" t="s">
        <v>88</v>
      </c>
      <c r="D30" s="0" t="s">
        <v>193</v>
      </c>
      <c r="E30" s="0" t="s">
        <v>90</v>
      </c>
      <c r="F30" s="0" t="s">
        <v>90</v>
      </c>
      <c r="G30" s="0" t="s">
        <v>0</v>
      </c>
      <c r="H30" s="0" t="s">
        <v>90</v>
      </c>
      <c r="I30" s="0" t="s">
        <v>90</v>
      </c>
      <c r="J30" s="0" t="s">
        <v>194</v>
      </c>
      <c r="K30" s="0" t="s">
        <v>92</v>
      </c>
      <c r="L30" s="0" t="s">
        <v>92</v>
      </c>
      <c r="M30" s="0" t="s">
        <v>0</v>
      </c>
      <c r="N30" s="0" t="s">
        <v>0</v>
      </c>
      <c r="O30" s="0" t="s">
        <v>0</v>
      </c>
      <c r="P30" s="0" t="s">
        <v>0</v>
      </c>
      <c r="Q30" s="0" t="s">
        <v>0</v>
      </c>
    </row>
    <row r="31">
      <c r="A31" s="0" t="s">
        <v>19</v>
      </c>
      <c r="B31" s="0" t="s">
        <v>195</v>
      </c>
      <c r="C31" s="0" t="s">
        <v>88</v>
      </c>
      <c r="D31" s="0" t="s">
        <v>187</v>
      </c>
      <c r="E31" s="0" t="s">
        <v>188</v>
      </c>
      <c r="F31" s="0" t="s">
        <v>188</v>
      </c>
      <c r="G31" s="0" t="s">
        <v>189</v>
      </c>
      <c r="H31" s="0" t="s">
        <v>79</v>
      </c>
      <c r="I31" s="0" t="s">
        <v>79</v>
      </c>
      <c r="J31" s="0" t="s">
        <v>194</v>
      </c>
      <c r="K31" s="0" t="s">
        <v>92</v>
      </c>
      <c r="L31" s="0" t="s">
        <v>92</v>
      </c>
      <c r="M31" s="0" t="s">
        <v>0</v>
      </c>
      <c r="N31" s="0" t="s">
        <v>0</v>
      </c>
      <c r="O31" s="0" t="s">
        <v>0</v>
      </c>
      <c r="P31" s="0" t="s">
        <v>0</v>
      </c>
      <c r="Q31" s="0" t="s">
        <v>0</v>
      </c>
    </row>
    <row r="32">
      <c r="A32" s="0" t="s">
        <v>19</v>
      </c>
      <c r="B32" s="0" t="s">
        <v>196</v>
      </c>
      <c r="C32" s="0" t="s">
        <v>77</v>
      </c>
      <c r="D32" s="0" t="s">
        <v>197</v>
      </c>
      <c r="E32" s="0" t="s">
        <v>198</v>
      </c>
      <c r="F32" s="0" t="s">
        <v>198</v>
      </c>
      <c r="G32" s="0" t="s">
        <v>35</v>
      </c>
      <c r="H32" s="0" t="s">
        <v>79</v>
      </c>
      <c r="I32" s="0" t="s">
        <v>79</v>
      </c>
      <c r="J32" s="0" t="s">
        <v>199</v>
      </c>
      <c r="K32" s="0" t="s">
        <v>36</v>
      </c>
      <c r="L32" s="0" t="s">
        <v>81</v>
      </c>
      <c r="M32" s="0" t="s">
        <v>200</v>
      </c>
      <c r="N32" s="0" t="s">
        <v>120</v>
      </c>
      <c r="O32" s="0" t="s">
        <v>121</v>
      </c>
      <c r="P32" s="0" t="s">
        <v>201</v>
      </c>
      <c r="Q32" s="0" t="s">
        <v>202</v>
      </c>
    </row>
    <row r="33">
      <c r="A33" s="0" t="s">
        <v>19</v>
      </c>
      <c r="B33" s="0" t="s">
        <v>203</v>
      </c>
      <c r="C33" s="0" t="s">
        <v>88</v>
      </c>
      <c r="D33" s="0" t="s">
        <v>204</v>
      </c>
      <c r="E33" s="0" t="s">
        <v>90</v>
      </c>
      <c r="F33" s="0" t="s">
        <v>90</v>
      </c>
      <c r="G33" s="0" t="s">
        <v>0</v>
      </c>
      <c r="H33" s="0" t="s">
        <v>90</v>
      </c>
      <c r="I33" s="0" t="s">
        <v>90</v>
      </c>
      <c r="J33" s="0" t="s">
        <v>91</v>
      </c>
      <c r="K33" s="0" t="s">
        <v>92</v>
      </c>
      <c r="L33" s="0" t="s">
        <v>92</v>
      </c>
      <c r="M33" s="0" t="s">
        <v>0</v>
      </c>
      <c r="N33" s="0" t="s">
        <v>0</v>
      </c>
      <c r="O33" s="0" t="s">
        <v>0</v>
      </c>
      <c r="P33" s="0" t="s">
        <v>0</v>
      </c>
      <c r="Q33" s="0" t="s">
        <v>0</v>
      </c>
    </row>
    <row r="34">
      <c r="A34" s="0" t="s">
        <v>19</v>
      </c>
      <c r="B34" s="0" t="s">
        <v>205</v>
      </c>
      <c r="C34" s="0" t="s">
        <v>88</v>
      </c>
      <c r="D34" s="0" t="s">
        <v>206</v>
      </c>
      <c r="E34" s="0" t="s">
        <v>90</v>
      </c>
      <c r="F34" s="0" t="s">
        <v>90</v>
      </c>
      <c r="G34" s="0" t="s">
        <v>0</v>
      </c>
      <c r="H34" s="0" t="s">
        <v>90</v>
      </c>
      <c r="I34" s="0" t="s">
        <v>90</v>
      </c>
      <c r="J34" s="0" t="s">
        <v>95</v>
      </c>
      <c r="K34" s="0" t="s">
        <v>92</v>
      </c>
      <c r="L34" s="0" t="s">
        <v>92</v>
      </c>
      <c r="M34" s="0" t="s">
        <v>0</v>
      </c>
      <c r="N34" s="0" t="s">
        <v>0</v>
      </c>
      <c r="O34" s="0" t="s">
        <v>0</v>
      </c>
      <c r="P34" s="0" t="s">
        <v>0</v>
      </c>
      <c r="Q34" s="0" t="s">
        <v>0</v>
      </c>
    </row>
    <row r="35">
      <c r="A35" s="0" t="s">
        <v>19</v>
      </c>
      <c r="B35" s="0" t="s">
        <v>207</v>
      </c>
      <c r="C35" s="0" t="s">
        <v>88</v>
      </c>
      <c r="D35" s="0" t="s">
        <v>208</v>
      </c>
      <c r="E35" s="0" t="s">
        <v>209</v>
      </c>
      <c r="F35" s="0" t="s">
        <v>90</v>
      </c>
      <c r="G35" s="0" t="s">
        <v>32</v>
      </c>
      <c r="H35" s="0" t="s">
        <v>90</v>
      </c>
      <c r="I35" s="0" t="s">
        <v>90</v>
      </c>
      <c r="J35" s="0" t="s">
        <v>210</v>
      </c>
      <c r="K35" s="0" t="s">
        <v>34</v>
      </c>
      <c r="L35" s="0" t="s">
        <v>100</v>
      </c>
      <c r="M35" s="0" t="s">
        <v>175</v>
      </c>
      <c r="N35" s="0" t="s">
        <v>83</v>
      </c>
      <c r="O35" s="0" t="s">
        <v>84</v>
      </c>
      <c r="P35" s="0" t="s">
        <v>176</v>
      </c>
      <c r="Q35" s="0" t="s">
        <v>177</v>
      </c>
    </row>
    <row r="36">
      <c r="A36" s="0" t="s">
        <v>19</v>
      </c>
      <c r="B36" s="0" t="s">
        <v>211</v>
      </c>
      <c r="C36" s="0" t="s">
        <v>88</v>
      </c>
      <c r="D36" s="0" t="s">
        <v>197</v>
      </c>
      <c r="E36" s="0" t="s">
        <v>209</v>
      </c>
      <c r="F36" s="0" t="s">
        <v>209</v>
      </c>
      <c r="G36" s="0" t="s">
        <v>35</v>
      </c>
      <c r="H36" s="0" t="s">
        <v>79</v>
      </c>
      <c r="I36" s="0" t="s">
        <v>79</v>
      </c>
      <c r="J36" s="0" t="s">
        <v>212</v>
      </c>
      <c r="K36" s="0" t="s">
        <v>38</v>
      </c>
      <c r="L36" s="0" t="s">
        <v>103</v>
      </c>
      <c r="M36" s="0" t="s">
        <v>0</v>
      </c>
      <c r="N36" s="0" t="s">
        <v>0</v>
      </c>
      <c r="O36" s="0" t="s">
        <v>0</v>
      </c>
      <c r="P36" s="0" t="s">
        <v>0</v>
      </c>
      <c r="Q36" s="0" t="s">
        <v>0</v>
      </c>
    </row>
    <row r="37">
      <c r="A37" s="0" t="s">
        <v>19</v>
      </c>
      <c r="B37" s="0" t="s">
        <v>213</v>
      </c>
      <c r="C37" s="0" t="s">
        <v>77</v>
      </c>
      <c r="D37" s="0" t="s">
        <v>214</v>
      </c>
      <c r="E37" s="0" t="s">
        <v>215</v>
      </c>
      <c r="F37" s="0" t="s">
        <v>215</v>
      </c>
      <c r="G37" s="0" t="s">
        <v>216</v>
      </c>
      <c r="H37" s="0" t="s">
        <v>79</v>
      </c>
      <c r="I37" s="0" t="s">
        <v>79</v>
      </c>
      <c r="J37" s="0" t="s">
        <v>217</v>
      </c>
      <c r="K37" s="0" t="s">
        <v>218</v>
      </c>
      <c r="L37" s="0" t="s">
        <v>110</v>
      </c>
      <c r="M37" s="0" t="s">
        <v>0</v>
      </c>
      <c r="N37" s="0" t="s">
        <v>0</v>
      </c>
      <c r="O37" s="0" t="s">
        <v>0</v>
      </c>
      <c r="P37" s="0" t="s">
        <v>0</v>
      </c>
      <c r="Q37" s="0" t="s">
        <v>0</v>
      </c>
    </row>
    <row r="38">
      <c r="A38" s="0" t="s">
        <v>19</v>
      </c>
      <c r="B38" s="0" t="s">
        <v>219</v>
      </c>
      <c r="C38" s="0" t="s">
        <v>88</v>
      </c>
      <c r="D38" s="0" t="s">
        <v>220</v>
      </c>
      <c r="E38" s="0" t="s">
        <v>90</v>
      </c>
      <c r="F38" s="0" t="s">
        <v>90</v>
      </c>
      <c r="G38" s="0" t="s">
        <v>0</v>
      </c>
      <c r="H38" s="0" t="s">
        <v>90</v>
      </c>
      <c r="I38" s="0" t="s">
        <v>90</v>
      </c>
      <c r="J38" s="0" t="s">
        <v>221</v>
      </c>
      <c r="K38" s="0" t="s">
        <v>92</v>
      </c>
      <c r="L38" s="0" t="s">
        <v>92</v>
      </c>
      <c r="M38" s="0" t="s">
        <v>0</v>
      </c>
      <c r="N38" s="0" t="s">
        <v>0</v>
      </c>
      <c r="O38" s="0" t="s">
        <v>0</v>
      </c>
      <c r="P38" s="0" t="s">
        <v>0</v>
      </c>
      <c r="Q38" s="0" t="s">
        <v>0</v>
      </c>
    </row>
    <row r="39">
      <c r="A39" s="0" t="s">
        <v>19</v>
      </c>
      <c r="B39" s="0" t="s">
        <v>222</v>
      </c>
      <c r="C39" s="0" t="s">
        <v>88</v>
      </c>
      <c r="D39" s="0" t="s">
        <v>214</v>
      </c>
      <c r="E39" s="0" t="s">
        <v>215</v>
      </c>
      <c r="F39" s="0" t="s">
        <v>215</v>
      </c>
      <c r="G39" s="0" t="s">
        <v>216</v>
      </c>
      <c r="H39" s="0" t="s">
        <v>79</v>
      </c>
      <c r="I39" s="0" t="s">
        <v>79</v>
      </c>
      <c r="J39" s="0" t="s">
        <v>221</v>
      </c>
      <c r="K39" s="0" t="s">
        <v>92</v>
      </c>
      <c r="L39" s="0" t="s">
        <v>92</v>
      </c>
      <c r="M39" s="0" t="s">
        <v>0</v>
      </c>
      <c r="N39" s="0" t="s">
        <v>0</v>
      </c>
      <c r="O39" s="0" t="s">
        <v>0</v>
      </c>
      <c r="P39" s="0" t="s">
        <v>0</v>
      </c>
      <c r="Q39" s="0" t="s">
        <v>0</v>
      </c>
    </row>
    <row r="40">
      <c r="A40" s="0" t="s">
        <v>19</v>
      </c>
      <c r="B40" s="0" t="s">
        <v>223</v>
      </c>
      <c r="C40" s="0" t="s">
        <v>88</v>
      </c>
      <c r="D40" s="0" t="s">
        <v>224</v>
      </c>
      <c r="E40" s="0" t="s">
        <v>90</v>
      </c>
      <c r="F40" s="0" t="s">
        <v>90</v>
      </c>
      <c r="G40" s="0" t="s">
        <v>0</v>
      </c>
      <c r="H40" s="0" t="s">
        <v>90</v>
      </c>
      <c r="I40" s="0" t="s">
        <v>90</v>
      </c>
      <c r="J40" s="0" t="s">
        <v>95</v>
      </c>
      <c r="K40" s="0" t="s">
        <v>92</v>
      </c>
      <c r="L40" s="0" t="s">
        <v>92</v>
      </c>
      <c r="M40" s="0" t="s">
        <v>0</v>
      </c>
      <c r="N40" s="0" t="s">
        <v>0</v>
      </c>
      <c r="O40" s="0" t="s">
        <v>0</v>
      </c>
      <c r="P40" s="0" t="s">
        <v>0</v>
      </c>
      <c r="Q40" s="0" t="s">
        <v>0</v>
      </c>
    </row>
    <row r="41">
      <c r="A41" s="0" t="s">
        <v>19</v>
      </c>
      <c r="B41" s="0" t="s">
        <v>225</v>
      </c>
      <c r="C41" s="0" t="s">
        <v>88</v>
      </c>
      <c r="D41" s="0" t="s">
        <v>226</v>
      </c>
      <c r="E41" s="0" t="s">
        <v>227</v>
      </c>
      <c r="F41" s="0" t="s">
        <v>90</v>
      </c>
      <c r="G41" s="0" t="s">
        <v>35</v>
      </c>
      <c r="H41" s="0" t="s">
        <v>90</v>
      </c>
      <c r="I41" s="0" t="s">
        <v>90</v>
      </c>
      <c r="J41" s="0" t="s">
        <v>228</v>
      </c>
      <c r="K41" s="0" t="s">
        <v>37</v>
      </c>
      <c r="L41" s="0" t="s">
        <v>100</v>
      </c>
      <c r="M41" s="0" t="s">
        <v>200</v>
      </c>
      <c r="N41" s="0" t="s">
        <v>120</v>
      </c>
      <c r="O41" s="0" t="s">
        <v>121</v>
      </c>
      <c r="P41" s="0" t="s">
        <v>201</v>
      </c>
      <c r="Q41" s="0" t="s">
        <v>202</v>
      </c>
    </row>
    <row r="42">
      <c r="A42" s="0" t="s">
        <v>19</v>
      </c>
      <c r="B42" s="0" t="s">
        <v>229</v>
      </c>
      <c r="C42" s="0" t="s">
        <v>88</v>
      </c>
      <c r="D42" s="0" t="s">
        <v>230</v>
      </c>
      <c r="E42" s="0" t="s">
        <v>90</v>
      </c>
      <c r="F42" s="0" t="s">
        <v>90</v>
      </c>
      <c r="G42" s="0" t="s">
        <v>0</v>
      </c>
      <c r="H42" s="0" t="s">
        <v>90</v>
      </c>
      <c r="I42" s="0" t="s">
        <v>90</v>
      </c>
      <c r="J42" s="0" t="s">
        <v>95</v>
      </c>
      <c r="K42" s="0" t="s">
        <v>92</v>
      </c>
      <c r="L42" s="0" t="s">
        <v>92</v>
      </c>
      <c r="M42" s="0" t="s">
        <v>0</v>
      </c>
      <c r="N42" s="0" t="s">
        <v>0</v>
      </c>
      <c r="O42" s="0" t="s">
        <v>0</v>
      </c>
      <c r="P42" s="0" t="s">
        <v>0</v>
      </c>
      <c r="Q42" s="0" t="s">
        <v>0</v>
      </c>
    </row>
    <row r="43">
      <c r="A43" s="0" t="s">
        <v>39</v>
      </c>
      <c r="B43" s="0" t="s">
        <v>231</v>
      </c>
      <c r="C43" s="0" t="s">
        <v>77</v>
      </c>
      <c r="D43" s="0" t="s">
        <v>232</v>
      </c>
      <c r="E43" s="0" t="s">
        <v>79</v>
      </c>
      <c r="F43" s="0" t="s">
        <v>79</v>
      </c>
      <c r="G43" s="0" t="s">
        <v>40</v>
      </c>
      <c r="H43" s="0" t="s">
        <v>79</v>
      </c>
      <c r="I43" s="0" t="s">
        <v>79</v>
      </c>
      <c r="J43" s="0" t="s">
        <v>233</v>
      </c>
      <c r="K43" s="0" t="s">
        <v>41</v>
      </c>
      <c r="L43" s="0" t="s">
        <v>81</v>
      </c>
      <c r="M43" s="0" t="s">
        <v>82</v>
      </c>
      <c r="N43" s="0" t="s">
        <v>83</v>
      </c>
      <c r="O43" s="0" t="s">
        <v>84</v>
      </c>
      <c r="P43" s="0" t="s">
        <v>234</v>
      </c>
      <c r="Q43" s="0" t="s">
        <v>235</v>
      </c>
    </row>
    <row r="44">
      <c r="A44" s="0" t="s">
        <v>39</v>
      </c>
      <c r="B44" s="0" t="s">
        <v>236</v>
      </c>
      <c r="C44" s="0" t="s">
        <v>88</v>
      </c>
      <c r="D44" s="0" t="s">
        <v>237</v>
      </c>
      <c r="E44" s="0" t="s">
        <v>90</v>
      </c>
      <c r="F44" s="0" t="s">
        <v>90</v>
      </c>
      <c r="G44" s="0" t="s">
        <v>0</v>
      </c>
      <c r="H44" s="0" t="s">
        <v>90</v>
      </c>
      <c r="I44" s="0" t="s">
        <v>90</v>
      </c>
      <c r="J44" s="0" t="s">
        <v>91</v>
      </c>
      <c r="K44" s="0" t="s">
        <v>92</v>
      </c>
      <c r="L44" s="0" t="s">
        <v>92</v>
      </c>
      <c r="M44" s="0" t="s">
        <v>0</v>
      </c>
      <c r="N44" s="0" t="s">
        <v>0</v>
      </c>
      <c r="O44" s="0" t="s">
        <v>0</v>
      </c>
      <c r="P44" s="0" t="s">
        <v>0</v>
      </c>
      <c r="Q44" s="0" t="s">
        <v>0</v>
      </c>
    </row>
    <row r="45">
      <c r="A45" s="0" t="s">
        <v>39</v>
      </c>
      <c r="B45" s="0" t="s">
        <v>238</v>
      </c>
      <c r="C45" s="0" t="s">
        <v>88</v>
      </c>
      <c r="D45" s="0" t="s">
        <v>239</v>
      </c>
      <c r="E45" s="0" t="s">
        <v>240</v>
      </c>
      <c r="F45" s="0" t="s">
        <v>90</v>
      </c>
      <c r="G45" s="0" t="s">
        <v>40</v>
      </c>
      <c r="H45" s="0" t="s">
        <v>90</v>
      </c>
      <c r="I45" s="0" t="s">
        <v>90</v>
      </c>
      <c r="J45" s="0" t="s">
        <v>241</v>
      </c>
      <c r="K45" s="0" t="s">
        <v>42</v>
      </c>
      <c r="L45" s="0" t="s">
        <v>100</v>
      </c>
      <c r="M45" s="0" t="s">
        <v>82</v>
      </c>
      <c r="N45" s="0" t="s">
        <v>83</v>
      </c>
      <c r="O45" s="0" t="s">
        <v>84</v>
      </c>
      <c r="P45" s="0" t="s">
        <v>234</v>
      </c>
      <c r="Q45" s="0" t="s">
        <v>235</v>
      </c>
    </row>
    <row r="46">
      <c r="A46" s="0" t="s">
        <v>39</v>
      </c>
      <c r="B46" s="0" t="s">
        <v>242</v>
      </c>
      <c r="C46" s="0" t="s">
        <v>88</v>
      </c>
      <c r="D46" s="0" t="s">
        <v>232</v>
      </c>
      <c r="E46" s="0" t="s">
        <v>240</v>
      </c>
      <c r="F46" s="0" t="s">
        <v>240</v>
      </c>
      <c r="G46" s="0" t="s">
        <v>40</v>
      </c>
      <c r="H46" s="0" t="s">
        <v>79</v>
      </c>
      <c r="I46" s="0" t="s">
        <v>79</v>
      </c>
      <c r="J46" s="0" t="s">
        <v>243</v>
      </c>
      <c r="K46" s="0" t="s">
        <v>23</v>
      </c>
      <c r="L46" s="0" t="s">
        <v>103</v>
      </c>
      <c r="M46" s="0" t="s">
        <v>0</v>
      </c>
      <c r="N46" s="0" t="s">
        <v>0</v>
      </c>
      <c r="O46" s="0" t="s">
        <v>0</v>
      </c>
      <c r="P46" s="0" t="s">
        <v>0</v>
      </c>
      <c r="Q46" s="0" t="s">
        <v>0</v>
      </c>
    </row>
    <row r="47">
      <c r="A47" s="0" t="s">
        <v>39</v>
      </c>
      <c r="B47" s="0" t="s">
        <v>244</v>
      </c>
      <c r="C47" s="0" t="s">
        <v>77</v>
      </c>
      <c r="D47" s="0" t="s">
        <v>245</v>
      </c>
      <c r="E47" s="0" t="s">
        <v>106</v>
      </c>
      <c r="F47" s="0" t="s">
        <v>106</v>
      </c>
      <c r="G47" s="0" t="s">
        <v>246</v>
      </c>
      <c r="H47" s="0" t="s">
        <v>79</v>
      </c>
      <c r="I47" s="0" t="s">
        <v>79</v>
      </c>
      <c r="J47" s="0" t="s">
        <v>247</v>
      </c>
      <c r="K47" s="0" t="s">
        <v>248</v>
      </c>
      <c r="L47" s="0" t="s">
        <v>110</v>
      </c>
      <c r="M47" s="0" t="s">
        <v>0</v>
      </c>
      <c r="N47" s="0" t="s">
        <v>0</v>
      </c>
      <c r="O47" s="0" t="s">
        <v>0</v>
      </c>
      <c r="P47" s="0" t="s">
        <v>0</v>
      </c>
      <c r="Q47" s="0" t="s">
        <v>0</v>
      </c>
    </row>
    <row r="48">
      <c r="A48" s="0" t="s">
        <v>39</v>
      </c>
      <c r="B48" s="0" t="s">
        <v>249</v>
      </c>
      <c r="C48" s="0" t="s">
        <v>88</v>
      </c>
      <c r="D48" s="0" t="s">
        <v>250</v>
      </c>
      <c r="E48" s="0" t="s">
        <v>90</v>
      </c>
      <c r="F48" s="0" t="s">
        <v>90</v>
      </c>
      <c r="G48" s="0" t="s">
        <v>0</v>
      </c>
      <c r="H48" s="0" t="s">
        <v>90</v>
      </c>
      <c r="I48" s="0" t="s">
        <v>90</v>
      </c>
      <c r="J48" s="0" t="s">
        <v>113</v>
      </c>
      <c r="K48" s="0" t="s">
        <v>92</v>
      </c>
      <c r="L48" s="0" t="s">
        <v>92</v>
      </c>
      <c r="M48" s="0" t="s">
        <v>0</v>
      </c>
      <c r="N48" s="0" t="s">
        <v>0</v>
      </c>
      <c r="O48" s="0" t="s">
        <v>0</v>
      </c>
      <c r="P48" s="0" t="s">
        <v>0</v>
      </c>
      <c r="Q48" s="0" t="s">
        <v>0</v>
      </c>
    </row>
    <row r="49">
      <c r="A49" s="0" t="s">
        <v>39</v>
      </c>
      <c r="B49" s="0" t="s">
        <v>251</v>
      </c>
      <c r="C49" s="0" t="s">
        <v>88</v>
      </c>
      <c r="D49" s="0" t="s">
        <v>245</v>
      </c>
      <c r="E49" s="0" t="s">
        <v>106</v>
      </c>
      <c r="F49" s="0" t="s">
        <v>106</v>
      </c>
      <c r="G49" s="0" t="s">
        <v>246</v>
      </c>
      <c r="H49" s="0" t="s">
        <v>79</v>
      </c>
      <c r="I49" s="0" t="s">
        <v>79</v>
      </c>
      <c r="J49" s="0" t="s">
        <v>113</v>
      </c>
      <c r="K49" s="0" t="s">
        <v>92</v>
      </c>
      <c r="L49" s="0" t="s">
        <v>92</v>
      </c>
      <c r="M49" s="0" t="s">
        <v>0</v>
      </c>
      <c r="N49" s="0" t="s">
        <v>0</v>
      </c>
      <c r="O49" s="0" t="s">
        <v>0</v>
      </c>
      <c r="P49" s="0" t="s">
        <v>0</v>
      </c>
      <c r="Q49" s="0" t="s">
        <v>0</v>
      </c>
    </row>
    <row r="50">
      <c r="A50" s="0" t="s">
        <v>39</v>
      </c>
      <c r="B50" s="0" t="s">
        <v>252</v>
      </c>
      <c r="C50" s="0" t="s">
        <v>77</v>
      </c>
      <c r="D50" s="0" t="s">
        <v>253</v>
      </c>
      <c r="E50" s="0" t="s">
        <v>117</v>
      </c>
      <c r="F50" s="0" t="s">
        <v>117</v>
      </c>
      <c r="G50" s="0" t="s">
        <v>43</v>
      </c>
      <c r="H50" s="0" t="s">
        <v>79</v>
      </c>
      <c r="I50" s="0" t="s">
        <v>79</v>
      </c>
      <c r="J50" s="0" t="s">
        <v>254</v>
      </c>
      <c r="K50" s="0" t="s">
        <v>44</v>
      </c>
      <c r="L50" s="0" t="s">
        <v>81</v>
      </c>
      <c r="M50" s="0" t="s">
        <v>119</v>
      </c>
      <c r="N50" s="0" t="s">
        <v>120</v>
      </c>
      <c r="O50" s="0" t="s">
        <v>121</v>
      </c>
      <c r="P50" s="0" t="s">
        <v>255</v>
      </c>
      <c r="Q50" s="0" t="s">
        <v>256</v>
      </c>
    </row>
    <row r="51">
      <c r="A51" s="0" t="s">
        <v>39</v>
      </c>
      <c r="B51" s="0" t="s">
        <v>257</v>
      </c>
      <c r="C51" s="0" t="s">
        <v>88</v>
      </c>
      <c r="D51" s="0" t="s">
        <v>258</v>
      </c>
      <c r="E51" s="0" t="s">
        <v>90</v>
      </c>
      <c r="F51" s="0" t="s">
        <v>90</v>
      </c>
      <c r="G51" s="0" t="s">
        <v>0</v>
      </c>
      <c r="H51" s="0" t="s">
        <v>90</v>
      </c>
      <c r="I51" s="0" t="s">
        <v>90</v>
      </c>
      <c r="J51" s="0" t="s">
        <v>259</v>
      </c>
      <c r="K51" s="0" t="s">
        <v>92</v>
      </c>
      <c r="L51" s="0" t="s">
        <v>92</v>
      </c>
      <c r="M51" s="0" t="s">
        <v>0</v>
      </c>
      <c r="N51" s="0" t="s">
        <v>0</v>
      </c>
      <c r="O51" s="0" t="s">
        <v>0</v>
      </c>
      <c r="P51" s="0" t="s">
        <v>0</v>
      </c>
      <c r="Q51" s="0" t="s">
        <v>0</v>
      </c>
    </row>
    <row r="52">
      <c r="A52" s="0" t="s">
        <v>39</v>
      </c>
      <c r="B52" s="0" t="s">
        <v>260</v>
      </c>
      <c r="C52" s="0" t="s">
        <v>88</v>
      </c>
      <c r="D52" s="0" t="s">
        <v>261</v>
      </c>
      <c r="E52" s="0" t="s">
        <v>90</v>
      </c>
      <c r="F52" s="0" t="s">
        <v>90</v>
      </c>
      <c r="G52" s="0" t="s">
        <v>0</v>
      </c>
      <c r="H52" s="0" t="s">
        <v>90</v>
      </c>
      <c r="I52" s="0" t="s">
        <v>90</v>
      </c>
      <c r="J52" s="0" t="s">
        <v>95</v>
      </c>
      <c r="K52" s="0" t="s">
        <v>92</v>
      </c>
      <c r="L52" s="0" t="s">
        <v>92</v>
      </c>
      <c r="M52" s="0" t="s">
        <v>0</v>
      </c>
      <c r="N52" s="0" t="s">
        <v>0</v>
      </c>
      <c r="O52" s="0" t="s">
        <v>0</v>
      </c>
      <c r="P52" s="0" t="s">
        <v>0</v>
      </c>
      <c r="Q52" s="0" t="s">
        <v>0</v>
      </c>
    </row>
    <row r="53">
      <c r="A53" s="0" t="s">
        <v>39</v>
      </c>
      <c r="B53" s="0" t="s">
        <v>262</v>
      </c>
      <c r="C53" s="0" t="s">
        <v>88</v>
      </c>
      <c r="D53" s="0" t="s">
        <v>263</v>
      </c>
      <c r="E53" s="0" t="s">
        <v>264</v>
      </c>
      <c r="F53" s="0" t="s">
        <v>90</v>
      </c>
      <c r="G53" s="0" t="s">
        <v>43</v>
      </c>
      <c r="H53" s="0" t="s">
        <v>90</v>
      </c>
      <c r="I53" s="0" t="s">
        <v>90</v>
      </c>
      <c r="J53" s="0" t="s">
        <v>265</v>
      </c>
      <c r="K53" s="0" t="s">
        <v>45</v>
      </c>
      <c r="L53" s="0" t="s">
        <v>100</v>
      </c>
      <c r="M53" s="0" t="s">
        <v>119</v>
      </c>
      <c r="N53" s="0" t="s">
        <v>120</v>
      </c>
      <c r="O53" s="0" t="s">
        <v>121</v>
      </c>
      <c r="P53" s="0" t="s">
        <v>255</v>
      </c>
      <c r="Q53" s="0" t="s">
        <v>256</v>
      </c>
    </row>
    <row r="54">
      <c r="A54" s="0" t="s">
        <v>39</v>
      </c>
      <c r="B54" s="0" t="s">
        <v>266</v>
      </c>
      <c r="C54" s="0" t="s">
        <v>88</v>
      </c>
      <c r="D54" s="0" t="s">
        <v>253</v>
      </c>
      <c r="E54" s="0" t="s">
        <v>264</v>
      </c>
      <c r="F54" s="0" t="s">
        <v>264</v>
      </c>
      <c r="G54" s="0" t="s">
        <v>43</v>
      </c>
      <c r="H54" s="0" t="s">
        <v>79</v>
      </c>
      <c r="I54" s="0" t="s">
        <v>79</v>
      </c>
      <c r="J54" s="0" t="s">
        <v>267</v>
      </c>
      <c r="K54" s="0" t="s">
        <v>27</v>
      </c>
      <c r="L54" s="0" t="s">
        <v>103</v>
      </c>
      <c r="M54" s="0" t="s">
        <v>0</v>
      </c>
      <c r="N54" s="0" t="s">
        <v>0</v>
      </c>
      <c r="O54" s="0" t="s">
        <v>0</v>
      </c>
      <c r="P54" s="0" t="s">
        <v>0</v>
      </c>
      <c r="Q54" s="0" t="s">
        <v>0</v>
      </c>
    </row>
    <row r="55">
      <c r="A55" s="0" t="s">
        <v>39</v>
      </c>
      <c r="B55" s="0" t="s">
        <v>268</v>
      </c>
      <c r="C55" s="0" t="s">
        <v>77</v>
      </c>
      <c r="D55" s="0" t="s">
        <v>269</v>
      </c>
      <c r="E55" s="0" t="s">
        <v>136</v>
      </c>
      <c r="F55" s="0" t="s">
        <v>136</v>
      </c>
      <c r="G55" s="0" t="s">
        <v>270</v>
      </c>
      <c r="H55" s="0" t="s">
        <v>79</v>
      </c>
      <c r="I55" s="0" t="s">
        <v>79</v>
      </c>
      <c r="J55" s="0" t="s">
        <v>271</v>
      </c>
      <c r="K55" s="0" t="s">
        <v>272</v>
      </c>
      <c r="L55" s="0" t="s">
        <v>110</v>
      </c>
      <c r="M55" s="0" t="s">
        <v>0</v>
      </c>
      <c r="N55" s="0" t="s">
        <v>0</v>
      </c>
      <c r="O55" s="0" t="s">
        <v>0</v>
      </c>
      <c r="P55" s="0" t="s">
        <v>0</v>
      </c>
      <c r="Q55" s="0" t="s">
        <v>0</v>
      </c>
    </row>
    <row r="56">
      <c r="A56" s="0" t="s">
        <v>39</v>
      </c>
      <c r="B56" s="0" t="s">
        <v>273</v>
      </c>
      <c r="C56" s="0" t="s">
        <v>88</v>
      </c>
      <c r="D56" s="0" t="s">
        <v>274</v>
      </c>
      <c r="E56" s="0" t="s">
        <v>90</v>
      </c>
      <c r="F56" s="0" t="s">
        <v>90</v>
      </c>
      <c r="G56" s="0" t="s">
        <v>0</v>
      </c>
      <c r="H56" s="0" t="s">
        <v>90</v>
      </c>
      <c r="I56" s="0" t="s">
        <v>90</v>
      </c>
      <c r="J56" s="0" t="s">
        <v>142</v>
      </c>
      <c r="K56" s="0" t="s">
        <v>92</v>
      </c>
      <c r="L56" s="0" t="s">
        <v>92</v>
      </c>
      <c r="M56" s="0" t="s">
        <v>0</v>
      </c>
      <c r="N56" s="0" t="s">
        <v>0</v>
      </c>
      <c r="O56" s="0" t="s">
        <v>0</v>
      </c>
      <c r="P56" s="0" t="s">
        <v>0</v>
      </c>
      <c r="Q56" s="0" t="s">
        <v>0</v>
      </c>
    </row>
    <row r="57">
      <c r="A57" s="0" t="s">
        <v>39</v>
      </c>
      <c r="B57" s="0" t="s">
        <v>275</v>
      </c>
      <c r="C57" s="0" t="s">
        <v>88</v>
      </c>
      <c r="D57" s="0" t="s">
        <v>269</v>
      </c>
      <c r="E57" s="0" t="s">
        <v>136</v>
      </c>
      <c r="F57" s="0" t="s">
        <v>136</v>
      </c>
      <c r="G57" s="0" t="s">
        <v>270</v>
      </c>
      <c r="H57" s="0" t="s">
        <v>79</v>
      </c>
      <c r="I57" s="0" t="s">
        <v>79</v>
      </c>
      <c r="J57" s="0" t="s">
        <v>142</v>
      </c>
      <c r="K57" s="0" t="s">
        <v>92</v>
      </c>
      <c r="L57" s="0" t="s">
        <v>92</v>
      </c>
      <c r="M57" s="0" t="s">
        <v>0</v>
      </c>
      <c r="N57" s="0" t="s">
        <v>0</v>
      </c>
      <c r="O57" s="0" t="s">
        <v>0</v>
      </c>
      <c r="P57" s="0" t="s">
        <v>0</v>
      </c>
      <c r="Q57" s="0" t="s">
        <v>0</v>
      </c>
    </row>
    <row r="58">
      <c r="A58" s="0" t="s">
        <v>39</v>
      </c>
      <c r="B58" s="0" t="s">
        <v>276</v>
      </c>
      <c r="C58" s="0" t="s">
        <v>77</v>
      </c>
      <c r="D58" s="0" t="s">
        <v>277</v>
      </c>
      <c r="E58" s="0" t="s">
        <v>146</v>
      </c>
      <c r="F58" s="0" t="s">
        <v>146</v>
      </c>
      <c r="G58" s="0" t="s">
        <v>46</v>
      </c>
      <c r="H58" s="0" t="s">
        <v>79</v>
      </c>
      <c r="I58" s="0" t="s">
        <v>79</v>
      </c>
      <c r="J58" s="0" t="s">
        <v>278</v>
      </c>
      <c r="K58" s="0" t="s">
        <v>47</v>
      </c>
      <c r="L58" s="0" t="s">
        <v>81</v>
      </c>
      <c r="M58" s="0" t="s">
        <v>148</v>
      </c>
      <c r="N58" s="0" t="s">
        <v>149</v>
      </c>
      <c r="O58" s="0" t="s">
        <v>150</v>
      </c>
      <c r="P58" s="0" t="s">
        <v>279</v>
      </c>
      <c r="Q58" s="0" t="s">
        <v>280</v>
      </c>
    </row>
    <row r="59">
      <c r="A59" s="0" t="s">
        <v>39</v>
      </c>
      <c r="B59" s="0" t="s">
        <v>281</v>
      </c>
      <c r="C59" s="0" t="s">
        <v>88</v>
      </c>
      <c r="D59" s="0" t="s">
        <v>282</v>
      </c>
      <c r="E59" s="0" t="s">
        <v>90</v>
      </c>
      <c r="F59" s="0" t="s">
        <v>90</v>
      </c>
      <c r="G59" s="0" t="s">
        <v>0</v>
      </c>
      <c r="H59" s="0" t="s">
        <v>90</v>
      </c>
      <c r="I59" s="0" t="s">
        <v>90</v>
      </c>
      <c r="J59" s="0" t="s">
        <v>283</v>
      </c>
      <c r="K59" s="0" t="s">
        <v>92</v>
      </c>
      <c r="L59" s="0" t="s">
        <v>92</v>
      </c>
      <c r="M59" s="0" t="s">
        <v>0</v>
      </c>
      <c r="N59" s="0" t="s">
        <v>0</v>
      </c>
      <c r="O59" s="0" t="s">
        <v>0</v>
      </c>
      <c r="P59" s="0" t="s">
        <v>0</v>
      </c>
      <c r="Q59" s="0" t="s">
        <v>0</v>
      </c>
    </row>
    <row r="60">
      <c r="A60" s="0" t="s">
        <v>39</v>
      </c>
      <c r="B60" s="0" t="s">
        <v>284</v>
      </c>
      <c r="C60" s="0" t="s">
        <v>88</v>
      </c>
      <c r="D60" s="0" t="s">
        <v>285</v>
      </c>
      <c r="E60" s="0" t="s">
        <v>90</v>
      </c>
      <c r="F60" s="0" t="s">
        <v>90</v>
      </c>
      <c r="G60" s="0" t="s">
        <v>0</v>
      </c>
      <c r="H60" s="0" t="s">
        <v>90</v>
      </c>
      <c r="I60" s="0" t="s">
        <v>90</v>
      </c>
      <c r="J60" s="0" t="s">
        <v>95</v>
      </c>
      <c r="K60" s="0" t="s">
        <v>92</v>
      </c>
      <c r="L60" s="0" t="s">
        <v>92</v>
      </c>
      <c r="M60" s="0" t="s">
        <v>0</v>
      </c>
      <c r="N60" s="0" t="s">
        <v>0</v>
      </c>
      <c r="O60" s="0" t="s">
        <v>0</v>
      </c>
      <c r="P60" s="0" t="s">
        <v>0</v>
      </c>
      <c r="Q60" s="0" t="s">
        <v>0</v>
      </c>
    </row>
    <row r="61">
      <c r="A61" s="0" t="s">
        <v>39</v>
      </c>
      <c r="B61" s="0" t="s">
        <v>286</v>
      </c>
      <c r="C61" s="0" t="s">
        <v>88</v>
      </c>
      <c r="D61" s="0" t="s">
        <v>287</v>
      </c>
      <c r="E61" s="0" t="s">
        <v>288</v>
      </c>
      <c r="F61" s="0" t="s">
        <v>90</v>
      </c>
      <c r="G61" s="0" t="s">
        <v>46</v>
      </c>
      <c r="H61" s="0" t="s">
        <v>90</v>
      </c>
      <c r="I61" s="0" t="s">
        <v>90</v>
      </c>
      <c r="J61" s="0" t="s">
        <v>289</v>
      </c>
      <c r="K61" s="0" t="s">
        <v>48</v>
      </c>
      <c r="L61" s="0" t="s">
        <v>100</v>
      </c>
      <c r="M61" s="0" t="s">
        <v>148</v>
      </c>
      <c r="N61" s="0" t="s">
        <v>149</v>
      </c>
      <c r="O61" s="0" t="s">
        <v>150</v>
      </c>
      <c r="P61" s="0" t="s">
        <v>279</v>
      </c>
      <c r="Q61" s="0" t="s">
        <v>280</v>
      </c>
    </row>
    <row r="62">
      <c r="A62" s="0" t="s">
        <v>39</v>
      </c>
      <c r="B62" s="0" t="s">
        <v>290</v>
      </c>
      <c r="C62" s="0" t="s">
        <v>88</v>
      </c>
      <c r="D62" s="0" t="s">
        <v>277</v>
      </c>
      <c r="E62" s="0" t="s">
        <v>288</v>
      </c>
      <c r="F62" s="0" t="s">
        <v>288</v>
      </c>
      <c r="G62" s="0" t="s">
        <v>46</v>
      </c>
      <c r="H62" s="0" t="s">
        <v>79</v>
      </c>
      <c r="I62" s="0" t="s">
        <v>79</v>
      </c>
      <c r="J62" s="0" t="s">
        <v>291</v>
      </c>
      <c r="K62" s="0" t="s">
        <v>31</v>
      </c>
      <c r="L62" s="0" t="s">
        <v>103</v>
      </c>
      <c r="M62" s="0" t="s">
        <v>0</v>
      </c>
      <c r="N62" s="0" t="s">
        <v>0</v>
      </c>
      <c r="O62" s="0" t="s">
        <v>0</v>
      </c>
      <c r="P62" s="0" t="s">
        <v>0</v>
      </c>
      <c r="Q62" s="0" t="s">
        <v>0</v>
      </c>
    </row>
    <row r="63">
      <c r="A63" s="0" t="s">
        <v>39</v>
      </c>
      <c r="B63" s="0" t="s">
        <v>292</v>
      </c>
      <c r="C63" s="0" t="s">
        <v>77</v>
      </c>
      <c r="D63" s="0" t="s">
        <v>293</v>
      </c>
      <c r="E63" s="0" t="s">
        <v>163</v>
      </c>
      <c r="F63" s="0" t="s">
        <v>163</v>
      </c>
      <c r="G63" s="0" t="s">
        <v>294</v>
      </c>
      <c r="H63" s="0" t="s">
        <v>79</v>
      </c>
      <c r="I63" s="0" t="s">
        <v>79</v>
      </c>
      <c r="J63" s="0" t="s">
        <v>295</v>
      </c>
      <c r="K63" s="0" t="s">
        <v>296</v>
      </c>
      <c r="L63" s="0" t="s">
        <v>110</v>
      </c>
      <c r="M63" s="0" t="s">
        <v>0</v>
      </c>
      <c r="N63" s="0" t="s">
        <v>0</v>
      </c>
      <c r="O63" s="0" t="s">
        <v>0</v>
      </c>
      <c r="P63" s="0" t="s">
        <v>0</v>
      </c>
      <c r="Q63" s="0" t="s">
        <v>0</v>
      </c>
    </row>
    <row r="64">
      <c r="A64" s="0" t="s">
        <v>39</v>
      </c>
      <c r="B64" s="0" t="s">
        <v>297</v>
      </c>
      <c r="C64" s="0" t="s">
        <v>88</v>
      </c>
      <c r="D64" s="0" t="s">
        <v>298</v>
      </c>
      <c r="E64" s="0" t="s">
        <v>90</v>
      </c>
      <c r="F64" s="0" t="s">
        <v>90</v>
      </c>
      <c r="G64" s="0" t="s">
        <v>0</v>
      </c>
      <c r="H64" s="0" t="s">
        <v>90</v>
      </c>
      <c r="I64" s="0" t="s">
        <v>90</v>
      </c>
      <c r="J64" s="0" t="s">
        <v>169</v>
      </c>
      <c r="K64" s="0" t="s">
        <v>92</v>
      </c>
      <c r="L64" s="0" t="s">
        <v>92</v>
      </c>
      <c r="M64" s="0" t="s">
        <v>0</v>
      </c>
      <c r="N64" s="0" t="s">
        <v>0</v>
      </c>
      <c r="O64" s="0" t="s">
        <v>0</v>
      </c>
      <c r="P64" s="0" t="s">
        <v>0</v>
      </c>
      <c r="Q64" s="0" t="s">
        <v>0</v>
      </c>
    </row>
    <row r="65">
      <c r="A65" s="0" t="s">
        <v>39</v>
      </c>
      <c r="B65" s="0" t="s">
        <v>299</v>
      </c>
      <c r="C65" s="0" t="s">
        <v>88</v>
      </c>
      <c r="D65" s="0" t="s">
        <v>293</v>
      </c>
      <c r="E65" s="0" t="s">
        <v>163</v>
      </c>
      <c r="F65" s="0" t="s">
        <v>163</v>
      </c>
      <c r="G65" s="0" t="s">
        <v>294</v>
      </c>
      <c r="H65" s="0" t="s">
        <v>79</v>
      </c>
      <c r="I65" s="0" t="s">
        <v>79</v>
      </c>
      <c r="J65" s="0" t="s">
        <v>169</v>
      </c>
      <c r="K65" s="0" t="s">
        <v>92</v>
      </c>
      <c r="L65" s="0" t="s">
        <v>92</v>
      </c>
      <c r="M65" s="0" t="s">
        <v>0</v>
      </c>
      <c r="N65" s="0" t="s">
        <v>0</v>
      </c>
      <c r="O65" s="0" t="s">
        <v>0</v>
      </c>
      <c r="P65" s="0" t="s">
        <v>0</v>
      </c>
      <c r="Q65" s="0" t="s">
        <v>0</v>
      </c>
    </row>
    <row r="66">
      <c r="A66" s="0" t="s">
        <v>39</v>
      </c>
      <c r="B66" s="0" t="s">
        <v>300</v>
      </c>
      <c r="C66" s="0" t="s">
        <v>77</v>
      </c>
      <c r="D66" s="0" t="s">
        <v>301</v>
      </c>
      <c r="E66" s="0" t="s">
        <v>173</v>
      </c>
      <c r="F66" s="0" t="s">
        <v>173</v>
      </c>
      <c r="G66" s="0" t="s">
        <v>49</v>
      </c>
      <c r="H66" s="0" t="s">
        <v>79</v>
      </c>
      <c r="I66" s="0" t="s">
        <v>79</v>
      </c>
      <c r="J66" s="0" t="s">
        <v>302</v>
      </c>
      <c r="K66" s="0" t="s">
        <v>50</v>
      </c>
      <c r="L66" s="0" t="s">
        <v>81</v>
      </c>
      <c r="M66" s="0" t="s">
        <v>175</v>
      </c>
      <c r="N66" s="0" t="s">
        <v>83</v>
      </c>
      <c r="O66" s="0" t="s">
        <v>84</v>
      </c>
      <c r="P66" s="0" t="s">
        <v>303</v>
      </c>
      <c r="Q66" s="0" t="s">
        <v>304</v>
      </c>
    </row>
    <row r="67">
      <c r="A67" s="0" t="s">
        <v>39</v>
      </c>
      <c r="B67" s="0" t="s">
        <v>305</v>
      </c>
      <c r="C67" s="0" t="s">
        <v>88</v>
      </c>
      <c r="D67" s="0" t="s">
        <v>306</v>
      </c>
      <c r="E67" s="0" t="s">
        <v>90</v>
      </c>
      <c r="F67" s="0" t="s">
        <v>90</v>
      </c>
      <c r="G67" s="0" t="s">
        <v>0</v>
      </c>
      <c r="H67" s="0" t="s">
        <v>90</v>
      </c>
      <c r="I67" s="0" t="s">
        <v>90</v>
      </c>
      <c r="J67" s="0" t="s">
        <v>95</v>
      </c>
      <c r="K67" s="0" t="s">
        <v>92</v>
      </c>
      <c r="L67" s="0" t="s">
        <v>92</v>
      </c>
      <c r="M67" s="0" t="s">
        <v>0</v>
      </c>
      <c r="N67" s="0" t="s">
        <v>0</v>
      </c>
      <c r="O67" s="0" t="s">
        <v>0</v>
      </c>
      <c r="P67" s="0" t="s">
        <v>0</v>
      </c>
      <c r="Q67" s="0" t="s">
        <v>0</v>
      </c>
    </row>
    <row r="68">
      <c r="A68" s="0" t="s">
        <v>39</v>
      </c>
      <c r="B68" s="0" t="s">
        <v>307</v>
      </c>
      <c r="C68" s="0" t="s">
        <v>88</v>
      </c>
      <c r="D68" s="0" t="s">
        <v>308</v>
      </c>
      <c r="E68" s="0" t="s">
        <v>90</v>
      </c>
      <c r="F68" s="0" t="s">
        <v>90</v>
      </c>
      <c r="G68" s="0" t="s">
        <v>0</v>
      </c>
      <c r="H68" s="0" t="s">
        <v>90</v>
      </c>
      <c r="I68" s="0" t="s">
        <v>90</v>
      </c>
      <c r="J68" s="0" t="s">
        <v>309</v>
      </c>
      <c r="K68" s="0" t="s">
        <v>92</v>
      </c>
      <c r="L68" s="0" t="s">
        <v>92</v>
      </c>
      <c r="M68" s="0" t="s">
        <v>0</v>
      </c>
      <c r="N68" s="0" t="s">
        <v>0</v>
      </c>
      <c r="O68" s="0" t="s">
        <v>0</v>
      </c>
      <c r="P68" s="0" t="s">
        <v>0</v>
      </c>
      <c r="Q68" s="0" t="s">
        <v>0</v>
      </c>
    </row>
    <row r="69">
      <c r="A69" s="0" t="s">
        <v>39</v>
      </c>
      <c r="B69" s="0" t="s">
        <v>310</v>
      </c>
      <c r="C69" s="0" t="s">
        <v>88</v>
      </c>
      <c r="D69" s="0" t="s">
        <v>311</v>
      </c>
      <c r="E69" s="0" t="s">
        <v>312</v>
      </c>
      <c r="F69" s="0" t="s">
        <v>90</v>
      </c>
      <c r="G69" s="0" t="s">
        <v>49</v>
      </c>
      <c r="H69" s="0" t="s">
        <v>90</v>
      </c>
      <c r="I69" s="0" t="s">
        <v>90</v>
      </c>
      <c r="J69" s="0" t="s">
        <v>313</v>
      </c>
      <c r="K69" s="0" t="s">
        <v>51</v>
      </c>
      <c r="L69" s="0" t="s">
        <v>100</v>
      </c>
      <c r="M69" s="0" t="s">
        <v>175</v>
      </c>
      <c r="N69" s="0" t="s">
        <v>83</v>
      </c>
      <c r="O69" s="0" t="s">
        <v>84</v>
      </c>
      <c r="P69" s="0" t="s">
        <v>303</v>
      </c>
      <c r="Q69" s="0" t="s">
        <v>304</v>
      </c>
    </row>
    <row r="70">
      <c r="A70" s="0" t="s">
        <v>39</v>
      </c>
      <c r="B70" s="0" t="s">
        <v>314</v>
      </c>
      <c r="C70" s="0" t="s">
        <v>88</v>
      </c>
      <c r="D70" s="0" t="s">
        <v>301</v>
      </c>
      <c r="E70" s="0" t="s">
        <v>312</v>
      </c>
      <c r="F70" s="0" t="s">
        <v>312</v>
      </c>
      <c r="G70" s="0" t="s">
        <v>49</v>
      </c>
      <c r="H70" s="0" t="s">
        <v>79</v>
      </c>
      <c r="I70" s="0" t="s">
        <v>79</v>
      </c>
      <c r="J70" s="0" t="s">
        <v>315</v>
      </c>
      <c r="K70" s="0" t="s">
        <v>38</v>
      </c>
      <c r="L70" s="0" t="s">
        <v>103</v>
      </c>
      <c r="M70" s="0" t="s">
        <v>0</v>
      </c>
      <c r="N70" s="0" t="s">
        <v>0</v>
      </c>
      <c r="O70" s="0" t="s">
        <v>0</v>
      </c>
      <c r="P70" s="0" t="s">
        <v>0</v>
      </c>
      <c r="Q70" s="0" t="s">
        <v>0</v>
      </c>
    </row>
    <row r="71">
      <c r="A71" s="0" t="s">
        <v>39</v>
      </c>
      <c r="B71" s="0" t="s">
        <v>316</v>
      </c>
      <c r="C71" s="0" t="s">
        <v>77</v>
      </c>
      <c r="D71" s="0" t="s">
        <v>317</v>
      </c>
      <c r="E71" s="0" t="s">
        <v>188</v>
      </c>
      <c r="F71" s="0" t="s">
        <v>188</v>
      </c>
      <c r="G71" s="0" t="s">
        <v>318</v>
      </c>
      <c r="H71" s="0" t="s">
        <v>79</v>
      </c>
      <c r="I71" s="0" t="s">
        <v>79</v>
      </c>
      <c r="J71" s="0" t="s">
        <v>319</v>
      </c>
      <c r="K71" s="0" t="s">
        <v>320</v>
      </c>
      <c r="L71" s="0" t="s">
        <v>110</v>
      </c>
      <c r="M71" s="0" t="s">
        <v>0</v>
      </c>
      <c r="N71" s="0" t="s">
        <v>0</v>
      </c>
      <c r="O71" s="0" t="s">
        <v>0</v>
      </c>
      <c r="P71" s="0" t="s">
        <v>0</v>
      </c>
      <c r="Q71" s="0" t="s">
        <v>0</v>
      </c>
    </row>
    <row r="72">
      <c r="A72" s="0" t="s">
        <v>39</v>
      </c>
      <c r="B72" s="0" t="s">
        <v>321</v>
      </c>
      <c r="C72" s="0" t="s">
        <v>88</v>
      </c>
      <c r="D72" s="0" t="s">
        <v>322</v>
      </c>
      <c r="E72" s="0" t="s">
        <v>90</v>
      </c>
      <c r="F72" s="0" t="s">
        <v>90</v>
      </c>
      <c r="G72" s="0" t="s">
        <v>0</v>
      </c>
      <c r="H72" s="0" t="s">
        <v>90</v>
      </c>
      <c r="I72" s="0" t="s">
        <v>90</v>
      </c>
      <c r="J72" s="0" t="s">
        <v>194</v>
      </c>
      <c r="K72" s="0" t="s">
        <v>92</v>
      </c>
      <c r="L72" s="0" t="s">
        <v>92</v>
      </c>
      <c r="M72" s="0" t="s">
        <v>0</v>
      </c>
      <c r="N72" s="0" t="s">
        <v>0</v>
      </c>
      <c r="O72" s="0" t="s">
        <v>0</v>
      </c>
      <c r="P72" s="0" t="s">
        <v>0</v>
      </c>
      <c r="Q72" s="0" t="s">
        <v>0</v>
      </c>
    </row>
    <row r="73">
      <c r="A73" s="0" t="s">
        <v>39</v>
      </c>
      <c r="B73" s="0" t="s">
        <v>323</v>
      </c>
      <c r="C73" s="0" t="s">
        <v>88</v>
      </c>
      <c r="D73" s="0" t="s">
        <v>317</v>
      </c>
      <c r="E73" s="0" t="s">
        <v>188</v>
      </c>
      <c r="F73" s="0" t="s">
        <v>188</v>
      </c>
      <c r="G73" s="0" t="s">
        <v>318</v>
      </c>
      <c r="H73" s="0" t="s">
        <v>79</v>
      </c>
      <c r="I73" s="0" t="s">
        <v>79</v>
      </c>
      <c r="J73" s="0" t="s">
        <v>194</v>
      </c>
      <c r="K73" s="0" t="s">
        <v>92</v>
      </c>
      <c r="L73" s="0" t="s">
        <v>92</v>
      </c>
      <c r="M73" s="0" t="s">
        <v>0</v>
      </c>
      <c r="N73" s="0" t="s">
        <v>0</v>
      </c>
      <c r="O73" s="0" t="s">
        <v>0</v>
      </c>
      <c r="P73" s="0" t="s">
        <v>0</v>
      </c>
      <c r="Q73" s="0" t="s">
        <v>0</v>
      </c>
    </row>
    <row r="74">
      <c r="A74" s="0" t="s">
        <v>39</v>
      </c>
      <c r="B74" s="0" t="s">
        <v>324</v>
      </c>
      <c r="C74" s="0" t="s">
        <v>77</v>
      </c>
      <c r="D74" s="0" t="s">
        <v>325</v>
      </c>
      <c r="E74" s="0" t="s">
        <v>198</v>
      </c>
      <c r="F74" s="0" t="s">
        <v>198</v>
      </c>
      <c r="G74" s="0" t="s">
        <v>52</v>
      </c>
      <c r="H74" s="0" t="s">
        <v>79</v>
      </c>
      <c r="I74" s="0" t="s">
        <v>79</v>
      </c>
      <c r="J74" s="0" t="s">
        <v>326</v>
      </c>
      <c r="K74" s="0" t="s">
        <v>53</v>
      </c>
      <c r="L74" s="0" t="s">
        <v>81</v>
      </c>
      <c r="M74" s="0" t="s">
        <v>200</v>
      </c>
      <c r="N74" s="0" t="s">
        <v>120</v>
      </c>
      <c r="O74" s="0" t="s">
        <v>121</v>
      </c>
      <c r="P74" s="0" t="s">
        <v>327</v>
      </c>
      <c r="Q74" s="0" t="s">
        <v>328</v>
      </c>
    </row>
    <row r="75">
      <c r="A75" s="0" t="s">
        <v>39</v>
      </c>
      <c r="B75" s="0" t="s">
        <v>329</v>
      </c>
      <c r="C75" s="0" t="s">
        <v>88</v>
      </c>
      <c r="D75" s="0" t="s">
        <v>330</v>
      </c>
      <c r="E75" s="0" t="s">
        <v>90</v>
      </c>
      <c r="F75" s="0" t="s">
        <v>90</v>
      </c>
      <c r="G75" s="0" t="s">
        <v>0</v>
      </c>
      <c r="H75" s="0" t="s">
        <v>90</v>
      </c>
      <c r="I75" s="0" t="s">
        <v>90</v>
      </c>
      <c r="J75" s="0" t="s">
        <v>95</v>
      </c>
      <c r="K75" s="0" t="s">
        <v>92</v>
      </c>
      <c r="L75" s="0" t="s">
        <v>92</v>
      </c>
      <c r="M75" s="0" t="s">
        <v>0</v>
      </c>
      <c r="N75" s="0" t="s">
        <v>0</v>
      </c>
      <c r="O75" s="0" t="s">
        <v>0</v>
      </c>
      <c r="P75" s="0" t="s">
        <v>0</v>
      </c>
      <c r="Q75" s="0" t="s">
        <v>0</v>
      </c>
    </row>
    <row r="76">
      <c r="A76" s="0" t="s">
        <v>39</v>
      </c>
      <c r="B76" s="0" t="s">
        <v>331</v>
      </c>
      <c r="C76" s="0" t="s">
        <v>88</v>
      </c>
      <c r="D76" s="0" t="s">
        <v>332</v>
      </c>
      <c r="E76" s="0" t="s">
        <v>90</v>
      </c>
      <c r="F76" s="0" t="s">
        <v>90</v>
      </c>
      <c r="G76" s="0" t="s">
        <v>0</v>
      </c>
      <c r="H76" s="0" t="s">
        <v>90</v>
      </c>
      <c r="I76" s="0" t="s">
        <v>90</v>
      </c>
      <c r="J76" s="0" t="s">
        <v>333</v>
      </c>
      <c r="K76" s="0" t="s">
        <v>92</v>
      </c>
      <c r="L76" s="0" t="s">
        <v>92</v>
      </c>
      <c r="M76" s="0" t="s">
        <v>0</v>
      </c>
      <c r="N76" s="0" t="s">
        <v>0</v>
      </c>
      <c r="O76" s="0" t="s">
        <v>0</v>
      </c>
      <c r="P76" s="0" t="s">
        <v>0</v>
      </c>
      <c r="Q76" s="0" t="s">
        <v>0</v>
      </c>
    </row>
    <row r="77">
      <c r="A77" s="0" t="s">
        <v>39</v>
      </c>
      <c r="B77" s="0" t="s">
        <v>334</v>
      </c>
      <c r="C77" s="0" t="s">
        <v>88</v>
      </c>
      <c r="D77" s="0" t="s">
        <v>335</v>
      </c>
      <c r="E77" s="0" t="s">
        <v>336</v>
      </c>
      <c r="F77" s="0" t="s">
        <v>90</v>
      </c>
      <c r="G77" s="0" t="s">
        <v>52</v>
      </c>
      <c r="H77" s="0" t="s">
        <v>90</v>
      </c>
      <c r="I77" s="0" t="s">
        <v>90</v>
      </c>
      <c r="J77" s="0" t="s">
        <v>337</v>
      </c>
      <c r="K77" s="0" t="s">
        <v>54</v>
      </c>
      <c r="L77" s="0" t="s">
        <v>100</v>
      </c>
      <c r="M77" s="0" t="s">
        <v>200</v>
      </c>
      <c r="N77" s="0" t="s">
        <v>120</v>
      </c>
      <c r="O77" s="0" t="s">
        <v>121</v>
      </c>
      <c r="P77" s="0" t="s">
        <v>327</v>
      </c>
      <c r="Q77" s="0" t="s">
        <v>328</v>
      </c>
    </row>
    <row r="78">
      <c r="A78" s="0" t="s">
        <v>39</v>
      </c>
      <c r="B78" s="0" t="s">
        <v>338</v>
      </c>
      <c r="C78" s="0" t="s">
        <v>88</v>
      </c>
      <c r="D78" s="0" t="s">
        <v>325</v>
      </c>
      <c r="E78" s="0" t="s">
        <v>336</v>
      </c>
      <c r="F78" s="0" t="s">
        <v>336</v>
      </c>
      <c r="G78" s="0" t="s">
        <v>52</v>
      </c>
      <c r="H78" s="0" t="s">
        <v>79</v>
      </c>
      <c r="I78" s="0" t="s">
        <v>79</v>
      </c>
      <c r="J78" s="0" t="s">
        <v>339</v>
      </c>
      <c r="K78" s="0" t="s">
        <v>55</v>
      </c>
      <c r="L78" s="0" t="s">
        <v>103</v>
      </c>
      <c r="M78" s="0" t="s">
        <v>0</v>
      </c>
      <c r="N78" s="0" t="s">
        <v>0</v>
      </c>
      <c r="O78" s="0" t="s">
        <v>0</v>
      </c>
      <c r="P78" s="0" t="s">
        <v>0</v>
      </c>
      <c r="Q78" s="0" t="s">
        <v>0</v>
      </c>
    </row>
    <row r="79">
      <c r="A79" s="0" t="s">
        <v>39</v>
      </c>
      <c r="B79" s="0" t="s">
        <v>340</v>
      </c>
      <c r="C79" s="0" t="s">
        <v>77</v>
      </c>
      <c r="D79" s="0" t="s">
        <v>341</v>
      </c>
      <c r="E79" s="0" t="s">
        <v>215</v>
      </c>
      <c r="F79" s="0" t="s">
        <v>215</v>
      </c>
      <c r="G79" s="0" t="s">
        <v>342</v>
      </c>
      <c r="H79" s="0" t="s">
        <v>79</v>
      </c>
      <c r="I79" s="0" t="s">
        <v>79</v>
      </c>
      <c r="J79" s="0" t="s">
        <v>343</v>
      </c>
      <c r="K79" s="0" t="s">
        <v>344</v>
      </c>
      <c r="L79" s="0" t="s">
        <v>110</v>
      </c>
      <c r="M79" s="0" t="s">
        <v>0</v>
      </c>
      <c r="N79" s="0" t="s">
        <v>0</v>
      </c>
      <c r="O79" s="0" t="s">
        <v>0</v>
      </c>
      <c r="P79" s="0" t="s">
        <v>0</v>
      </c>
      <c r="Q79" s="0" t="s">
        <v>0</v>
      </c>
    </row>
    <row r="80">
      <c r="A80" s="0" t="s">
        <v>39</v>
      </c>
      <c r="B80" s="0" t="s">
        <v>345</v>
      </c>
      <c r="C80" s="0" t="s">
        <v>88</v>
      </c>
      <c r="D80" s="0" t="s">
        <v>346</v>
      </c>
      <c r="E80" s="0" t="s">
        <v>90</v>
      </c>
      <c r="F80" s="0" t="s">
        <v>90</v>
      </c>
      <c r="G80" s="0" t="s">
        <v>0</v>
      </c>
      <c r="H80" s="0" t="s">
        <v>90</v>
      </c>
      <c r="I80" s="0" t="s">
        <v>90</v>
      </c>
      <c r="J80" s="0" t="s">
        <v>221</v>
      </c>
      <c r="K80" s="0" t="s">
        <v>92</v>
      </c>
      <c r="L80" s="0" t="s">
        <v>92</v>
      </c>
      <c r="M80" s="0" t="s">
        <v>0</v>
      </c>
      <c r="N80" s="0" t="s">
        <v>0</v>
      </c>
      <c r="O80" s="0" t="s">
        <v>0</v>
      </c>
      <c r="P80" s="0" t="s">
        <v>0</v>
      </c>
      <c r="Q80" s="0" t="s">
        <v>0</v>
      </c>
    </row>
    <row r="81">
      <c r="A81" s="0" t="s">
        <v>39</v>
      </c>
      <c r="B81" s="0" t="s">
        <v>347</v>
      </c>
      <c r="C81" s="0" t="s">
        <v>88</v>
      </c>
      <c r="D81" s="0" t="s">
        <v>341</v>
      </c>
      <c r="E81" s="0" t="s">
        <v>215</v>
      </c>
      <c r="F81" s="0" t="s">
        <v>215</v>
      </c>
      <c r="G81" s="0" t="s">
        <v>342</v>
      </c>
      <c r="H81" s="0" t="s">
        <v>79</v>
      </c>
      <c r="I81" s="0" t="s">
        <v>79</v>
      </c>
      <c r="J81" s="0" t="s">
        <v>221</v>
      </c>
      <c r="K81" s="0" t="s">
        <v>92</v>
      </c>
      <c r="L81" s="0" t="s">
        <v>92</v>
      </c>
      <c r="M81" s="0" t="s">
        <v>0</v>
      </c>
      <c r="N81" s="0" t="s">
        <v>0</v>
      </c>
      <c r="O81" s="0" t="s">
        <v>0</v>
      </c>
      <c r="P81" s="0" t="s">
        <v>0</v>
      </c>
      <c r="Q81" s="0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1"/>
  <sheetViews>
    <sheetView showRuler="1" showOutlineSymbols="1" defaultGridColor="1" colorId="64" zoomScale="100" workbookViewId="0"/>
  </sheetViews>
  <sheetFormatPr defaultColWidth="8.43" defaultRowHeight="15"/>
  <cols>
    <col min="1" max="1" width="25.35" bestFit="1" customWidth="1"/>
    <col min="2" max="2" width="23.25" bestFit="1" customWidth="1"/>
    <col min="3" max="3" width="8.850000000000001" bestFit="1" customWidth="1"/>
    <col min="4" max="4" width="39.15" bestFit="1" customWidth="1"/>
    <col min="5" max="5" width="6.6000000000000005" bestFit="1" customWidth="1"/>
    <col min="6" max="6" width="7.3500000000000005" bestFit="1" customWidth="1"/>
    <col min="7" max="7" width="38.85" bestFit="1" customWidth="1"/>
    <col min="8" max="8" width="8.1" bestFit="1" customWidth="1"/>
    <col min="9" max="9" width="9.450000000000001" bestFit="1" customWidth="1"/>
    <col min="10" max="10" width="33.75000000000001" bestFit="1" customWidth="1"/>
    <col min="11" max="11" width="46.95" bestFit="1" customWidth="1"/>
    <col min="12" max="12" width="12.75" bestFit="1" customWidth="1"/>
    <col min="13" max="13" width="11.1" bestFit="1" customWidth="1"/>
    <col min="14" max="14" width="18.6" bestFit="1" customWidth="1"/>
    <col min="15" max="15" width="5.7" bestFit="1" customWidth="1"/>
    <col min="16" max="16" width="14.700000000000001" bestFit="1" customWidth="1"/>
    <col min="17" max="17" width="39.45" bestFit="1" customWidth="1"/>
  </cols>
  <sheetData>
    <row r="1">
      <c r="A1" s="0" t="s">
        <v>6</v>
      </c>
      <c r="B1" s="0" t="s">
        <v>67</v>
      </c>
      <c r="C1" s="0" t="s">
        <v>68</v>
      </c>
      <c r="D1" s="0" t="s">
        <v>69</v>
      </c>
      <c r="E1" s="0" t="s">
        <v>8</v>
      </c>
      <c r="F1" s="0" t="s">
        <v>70</v>
      </c>
      <c r="G1" s="0" t="s">
        <v>7</v>
      </c>
      <c r="H1" s="0" t="s">
        <v>9</v>
      </c>
      <c r="I1" s="0" t="s">
        <v>71</v>
      </c>
      <c r="J1" s="0" t="s">
        <v>72</v>
      </c>
      <c r="K1" s="0" t="s">
        <v>10</v>
      </c>
      <c r="L1" s="0" t="s">
        <v>73</v>
      </c>
      <c r="M1" s="0" t="s">
        <v>11</v>
      </c>
      <c r="N1" s="0" t="s">
        <v>12</v>
      </c>
      <c r="O1" s="0" t="s">
        <v>13</v>
      </c>
      <c r="P1" s="0" t="s">
        <v>74</v>
      </c>
      <c r="Q1" s="0" t="s">
        <v>75</v>
      </c>
    </row>
    <row r="2">
      <c r="A2" s="0" t="s">
        <v>19</v>
      </c>
      <c r="B2" s="0" t="s">
        <v>76</v>
      </c>
      <c r="C2" s="0" t="s">
        <v>77</v>
      </c>
      <c r="D2" s="0" t="s">
        <v>78</v>
      </c>
      <c r="E2" s="0" t="s">
        <v>79</v>
      </c>
      <c r="F2" s="0" t="s">
        <v>79</v>
      </c>
      <c r="G2" s="0" t="s">
        <v>20</v>
      </c>
      <c r="H2" s="0" t="s">
        <v>79</v>
      </c>
      <c r="I2" s="0" t="s">
        <v>79</v>
      </c>
      <c r="J2" s="0" t="s">
        <v>80</v>
      </c>
      <c r="K2" s="0" t="s">
        <v>21</v>
      </c>
      <c r="L2" s="0" t="s">
        <v>81</v>
      </c>
      <c r="M2" s="0" t="s">
        <v>82</v>
      </c>
      <c r="N2" s="0" t="s">
        <v>83</v>
      </c>
      <c r="O2" s="0" t="s">
        <v>84</v>
      </c>
      <c r="P2" s="0" t="s">
        <v>85</v>
      </c>
      <c r="Q2" s="0" t="s">
        <v>86</v>
      </c>
    </row>
    <row r="3">
      <c r="A3" s="0" t="s">
        <v>19</v>
      </c>
      <c r="B3" s="0" t="s">
        <v>115</v>
      </c>
      <c r="C3" s="0" t="s">
        <v>77</v>
      </c>
      <c r="D3" s="0" t="s">
        <v>116</v>
      </c>
      <c r="E3" s="0" t="s">
        <v>117</v>
      </c>
      <c r="F3" s="0" t="s">
        <v>117</v>
      </c>
      <c r="G3" s="0" t="s">
        <v>24</v>
      </c>
      <c r="H3" s="0" t="s">
        <v>79</v>
      </c>
      <c r="I3" s="0" t="s">
        <v>79</v>
      </c>
      <c r="J3" s="0" t="s">
        <v>118</v>
      </c>
      <c r="K3" s="0" t="s">
        <v>25</v>
      </c>
      <c r="L3" s="0" t="s">
        <v>81</v>
      </c>
      <c r="M3" s="0" t="s">
        <v>119</v>
      </c>
      <c r="N3" s="0" t="s">
        <v>120</v>
      </c>
      <c r="O3" s="0" t="s">
        <v>121</v>
      </c>
      <c r="P3" s="0" t="s">
        <v>122</v>
      </c>
      <c r="Q3" s="0" t="s">
        <v>123</v>
      </c>
    </row>
    <row r="4">
      <c r="A4" s="0" t="s">
        <v>19</v>
      </c>
      <c r="B4" s="0" t="s">
        <v>144</v>
      </c>
      <c r="C4" s="0" t="s">
        <v>77</v>
      </c>
      <c r="D4" s="0" t="s">
        <v>145</v>
      </c>
      <c r="E4" s="0" t="s">
        <v>146</v>
      </c>
      <c r="F4" s="0" t="s">
        <v>146</v>
      </c>
      <c r="G4" s="0" t="s">
        <v>28</v>
      </c>
      <c r="H4" s="0" t="s">
        <v>79</v>
      </c>
      <c r="I4" s="0" t="s">
        <v>79</v>
      </c>
      <c r="J4" s="0" t="s">
        <v>147</v>
      </c>
      <c r="K4" s="0" t="s">
        <v>29</v>
      </c>
      <c r="L4" s="0" t="s">
        <v>81</v>
      </c>
      <c r="M4" s="0" t="s">
        <v>148</v>
      </c>
      <c r="N4" s="0" t="s">
        <v>149</v>
      </c>
      <c r="O4" s="0" t="s">
        <v>150</v>
      </c>
      <c r="P4" s="0" t="s">
        <v>151</v>
      </c>
      <c r="Q4" s="0" t="s">
        <v>152</v>
      </c>
    </row>
    <row r="5">
      <c r="A5" s="0" t="s">
        <v>19</v>
      </c>
      <c r="B5" s="0" t="s">
        <v>171</v>
      </c>
      <c r="C5" s="0" t="s">
        <v>77</v>
      </c>
      <c r="D5" s="0" t="s">
        <v>172</v>
      </c>
      <c r="E5" s="0" t="s">
        <v>173</v>
      </c>
      <c r="F5" s="0" t="s">
        <v>173</v>
      </c>
      <c r="G5" s="0" t="s">
        <v>32</v>
      </c>
      <c r="H5" s="0" t="s">
        <v>79</v>
      </c>
      <c r="I5" s="0" t="s">
        <v>79</v>
      </c>
      <c r="J5" s="0" t="s">
        <v>174</v>
      </c>
      <c r="K5" s="0" t="s">
        <v>33</v>
      </c>
      <c r="L5" s="0" t="s">
        <v>81</v>
      </c>
      <c r="M5" s="0" t="s">
        <v>175</v>
      </c>
      <c r="N5" s="0" t="s">
        <v>83</v>
      </c>
      <c r="O5" s="0" t="s">
        <v>84</v>
      </c>
      <c r="P5" s="0" t="s">
        <v>176</v>
      </c>
      <c r="Q5" s="0" t="s">
        <v>177</v>
      </c>
    </row>
    <row r="6">
      <c r="A6" s="0" t="s">
        <v>19</v>
      </c>
      <c r="B6" s="0" t="s">
        <v>196</v>
      </c>
      <c r="C6" s="0" t="s">
        <v>77</v>
      </c>
      <c r="D6" s="0" t="s">
        <v>197</v>
      </c>
      <c r="E6" s="0" t="s">
        <v>198</v>
      </c>
      <c r="F6" s="0" t="s">
        <v>198</v>
      </c>
      <c r="G6" s="0" t="s">
        <v>35</v>
      </c>
      <c r="H6" s="0" t="s">
        <v>79</v>
      </c>
      <c r="I6" s="0" t="s">
        <v>79</v>
      </c>
      <c r="J6" s="0" t="s">
        <v>199</v>
      </c>
      <c r="K6" s="0" t="s">
        <v>36</v>
      </c>
      <c r="L6" s="0" t="s">
        <v>81</v>
      </c>
      <c r="M6" s="0" t="s">
        <v>200</v>
      </c>
      <c r="N6" s="0" t="s">
        <v>120</v>
      </c>
      <c r="O6" s="0" t="s">
        <v>121</v>
      </c>
      <c r="P6" s="0" t="s">
        <v>201</v>
      </c>
      <c r="Q6" s="0" t="s">
        <v>202</v>
      </c>
    </row>
    <row r="7">
      <c r="A7" s="0" t="s">
        <v>39</v>
      </c>
      <c r="B7" s="0" t="s">
        <v>231</v>
      </c>
      <c r="C7" s="0" t="s">
        <v>77</v>
      </c>
      <c r="D7" s="0" t="s">
        <v>232</v>
      </c>
      <c r="E7" s="0" t="s">
        <v>79</v>
      </c>
      <c r="F7" s="0" t="s">
        <v>79</v>
      </c>
      <c r="G7" s="0" t="s">
        <v>40</v>
      </c>
      <c r="H7" s="0" t="s">
        <v>79</v>
      </c>
      <c r="I7" s="0" t="s">
        <v>79</v>
      </c>
      <c r="J7" s="0" t="s">
        <v>233</v>
      </c>
      <c r="K7" s="0" t="s">
        <v>41</v>
      </c>
      <c r="L7" s="0" t="s">
        <v>81</v>
      </c>
      <c r="M7" s="0" t="s">
        <v>82</v>
      </c>
      <c r="N7" s="0" t="s">
        <v>83</v>
      </c>
      <c r="O7" s="0" t="s">
        <v>84</v>
      </c>
      <c r="P7" s="0" t="s">
        <v>234</v>
      </c>
      <c r="Q7" s="0" t="s">
        <v>235</v>
      </c>
    </row>
    <row r="8">
      <c r="A8" s="0" t="s">
        <v>39</v>
      </c>
      <c r="B8" s="0" t="s">
        <v>252</v>
      </c>
      <c r="C8" s="0" t="s">
        <v>77</v>
      </c>
      <c r="D8" s="0" t="s">
        <v>253</v>
      </c>
      <c r="E8" s="0" t="s">
        <v>117</v>
      </c>
      <c r="F8" s="0" t="s">
        <v>117</v>
      </c>
      <c r="G8" s="0" t="s">
        <v>43</v>
      </c>
      <c r="H8" s="0" t="s">
        <v>79</v>
      </c>
      <c r="I8" s="0" t="s">
        <v>79</v>
      </c>
      <c r="J8" s="0" t="s">
        <v>254</v>
      </c>
      <c r="K8" s="0" t="s">
        <v>44</v>
      </c>
      <c r="L8" s="0" t="s">
        <v>81</v>
      </c>
      <c r="M8" s="0" t="s">
        <v>119</v>
      </c>
      <c r="N8" s="0" t="s">
        <v>120</v>
      </c>
      <c r="O8" s="0" t="s">
        <v>121</v>
      </c>
      <c r="P8" s="0" t="s">
        <v>255</v>
      </c>
      <c r="Q8" s="0" t="s">
        <v>256</v>
      </c>
    </row>
    <row r="9">
      <c r="A9" s="0" t="s">
        <v>39</v>
      </c>
      <c r="B9" s="0" t="s">
        <v>276</v>
      </c>
      <c r="C9" s="0" t="s">
        <v>77</v>
      </c>
      <c r="D9" s="0" t="s">
        <v>277</v>
      </c>
      <c r="E9" s="0" t="s">
        <v>146</v>
      </c>
      <c r="F9" s="0" t="s">
        <v>146</v>
      </c>
      <c r="G9" s="0" t="s">
        <v>46</v>
      </c>
      <c r="H9" s="0" t="s">
        <v>79</v>
      </c>
      <c r="I9" s="0" t="s">
        <v>79</v>
      </c>
      <c r="J9" s="0" t="s">
        <v>278</v>
      </c>
      <c r="K9" s="0" t="s">
        <v>47</v>
      </c>
      <c r="L9" s="0" t="s">
        <v>81</v>
      </c>
      <c r="M9" s="0" t="s">
        <v>148</v>
      </c>
      <c r="N9" s="0" t="s">
        <v>149</v>
      </c>
      <c r="O9" s="0" t="s">
        <v>150</v>
      </c>
      <c r="P9" s="0" t="s">
        <v>279</v>
      </c>
      <c r="Q9" s="0" t="s">
        <v>280</v>
      </c>
    </row>
    <row r="10">
      <c r="A10" s="0" t="s">
        <v>39</v>
      </c>
      <c r="B10" s="0" t="s">
        <v>300</v>
      </c>
      <c r="C10" s="0" t="s">
        <v>77</v>
      </c>
      <c r="D10" s="0" t="s">
        <v>301</v>
      </c>
      <c r="E10" s="0" t="s">
        <v>173</v>
      </c>
      <c r="F10" s="0" t="s">
        <v>173</v>
      </c>
      <c r="G10" s="0" t="s">
        <v>49</v>
      </c>
      <c r="H10" s="0" t="s">
        <v>79</v>
      </c>
      <c r="I10" s="0" t="s">
        <v>79</v>
      </c>
      <c r="J10" s="0" t="s">
        <v>302</v>
      </c>
      <c r="K10" s="0" t="s">
        <v>50</v>
      </c>
      <c r="L10" s="0" t="s">
        <v>81</v>
      </c>
      <c r="M10" s="0" t="s">
        <v>175</v>
      </c>
      <c r="N10" s="0" t="s">
        <v>83</v>
      </c>
      <c r="O10" s="0" t="s">
        <v>84</v>
      </c>
      <c r="P10" s="0" t="s">
        <v>303</v>
      </c>
      <c r="Q10" s="0" t="s">
        <v>304</v>
      </c>
    </row>
    <row r="11">
      <c r="A11" s="0" t="s">
        <v>39</v>
      </c>
      <c r="B11" s="0" t="s">
        <v>324</v>
      </c>
      <c r="C11" s="0" t="s">
        <v>77</v>
      </c>
      <c r="D11" s="0" t="s">
        <v>325</v>
      </c>
      <c r="E11" s="0" t="s">
        <v>198</v>
      </c>
      <c r="F11" s="0" t="s">
        <v>198</v>
      </c>
      <c r="G11" s="0" t="s">
        <v>52</v>
      </c>
      <c r="H11" s="0" t="s">
        <v>79</v>
      </c>
      <c r="I11" s="0" t="s">
        <v>79</v>
      </c>
      <c r="J11" s="0" t="s">
        <v>326</v>
      </c>
      <c r="K11" s="0" t="s">
        <v>53</v>
      </c>
      <c r="L11" s="0" t="s">
        <v>81</v>
      </c>
      <c r="M11" s="0" t="s">
        <v>200</v>
      </c>
      <c r="N11" s="0" t="s">
        <v>120</v>
      </c>
      <c r="O11" s="0" t="s">
        <v>121</v>
      </c>
      <c r="P11" s="0" t="s">
        <v>327</v>
      </c>
      <c r="Q11" s="0" t="s">
        <v>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2"/>
  <sheetViews>
    <sheetView showRuler="1" showOutlineSymbols="1" defaultGridColor="1" colorId="64" zoomScale="100" workbookViewId="0"/>
  </sheetViews>
  <sheetFormatPr defaultColWidth="8.43" defaultRowHeight="15"/>
  <cols>
    <col min="1" max="1" width="25.35" bestFit="1" customWidth="1"/>
    <col min="2" max="2" width="23.25" bestFit="1" customWidth="1"/>
    <col min="3" max="3" width="8.850000000000001" bestFit="1" customWidth="1"/>
    <col min="4" max="4" width="38.699999999999996" bestFit="1" customWidth="1"/>
    <col min="5" max="5" width="6.6000000000000005" bestFit="1" customWidth="1"/>
    <col min="6" max="6" width="7.3500000000000005" bestFit="1" customWidth="1"/>
    <col min="7" max="7" width="38.85" bestFit="1" customWidth="1"/>
    <col min="8" max="8" width="8.1" bestFit="1" customWidth="1"/>
    <col min="9" max="9" width="9.450000000000001" bestFit="1" customWidth="1"/>
    <col min="10" max="10" width="33.75000000000001" bestFit="1" customWidth="1"/>
    <col min="11" max="11" width="42.6" bestFit="1" customWidth="1"/>
    <col min="12" max="12" width="12.75" bestFit="1" customWidth="1"/>
    <col min="13" max="13" width="11.1" bestFit="1" customWidth="1"/>
    <col min="14" max="14" width="18.6" bestFit="1" customWidth="1"/>
    <col min="15" max="15" width="5.7" bestFit="1" customWidth="1"/>
    <col min="16" max="16" width="14.700000000000001" bestFit="1" customWidth="1"/>
    <col min="17" max="17" width="39.45" bestFit="1" customWidth="1"/>
  </cols>
  <sheetData>
    <row r="1">
      <c r="A1" s="0" t="s">
        <v>6</v>
      </c>
      <c r="B1" s="0" t="s">
        <v>67</v>
      </c>
      <c r="C1" s="0" t="s">
        <v>68</v>
      </c>
      <c r="D1" s="0" t="s">
        <v>69</v>
      </c>
      <c r="E1" s="0" t="s">
        <v>8</v>
      </c>
      <c r="F1" s="0" t="s">
        <v>70</v>
      </c>
      <c r="G1" s="0" t="s">
        <v>7</v>
      </c>
      <c r="H1" s="0" t="s">
        <v>9</v>
      </c>
      <c r="I1" s="0" t="s">
        <v>71</v>
      </c>
      <c r="J1" s="0" t="s">
        <v>72</v>
      </c>
      <c r="K1" s="0" t="s">
        <v>10</v>
      </c>
      <c r="L1" s="0" t="s">
        <v>73</v>
      </c>
      <c r="M1" s="0" t="s">
        <v>11</v>
      </c>
      <c r="N1" s="0" t="s">
        <v>12</v>
      </c>
      <c r="O1" s="0" t="s">
        <v>13</v>
      </c>
      <c r="P1" s="0" t="s">
        <v>74</v>
      </c>
      <c r="Q1" s="0" t="s">
        <v>75</v>
      </c>
    </row>
    <row r="2">
      <c r="A2" s="0" t="s">
        <v>19</v>
      </c>
      <c r="B2" s="0" t="s">
        <v>96</v>
      </c>
      <c r="C2" s="0" t="s">
        <v>88</v>
      </c>
      <c r="D2" s="0" t="s">
        <v>97</v>
      </c>
      <c r="E2" s="0" t="s">
        <v>98</v>
      </c>
      <c r="F2" s="0" t="s">
        <v>90</v>
      </c>
      <c r="G2" s="0" t="s">
        <v>20</v>
      </c>
      <c r="H2" s="0" t="s">
        <v>90</v>
      </c>
      <c r="I2" s="0" t="s">
        <v>90</v>
      </c>
      <c r="J2" s="0" t="s">
        <v>99</v>
      </c>
      <c r="K2" s="0" t="s">
        <v>22</v>
      </c>
      <c r="L2" s="0" t="s">
        <v>100</v>
      </c>
      <c r="M2" s="0" t="s">
        <v>82</v>
      </c>
      <c r="N2" s="0" t="s">
        <v>83</v>
      </c>
      <c r="O2" s="0" t="s">
        <v>84</v>
      </c>
      <c r="P2" s="0" t="s">
        <v>85</v>
      </c>
      <c r="Q2" s="0" t="s">
        <v>86</v>
      </c>
    </row>
    <row r="3">
      <c r="A3" s="0" t="s">
        <v>19</v>
      </c>
      <c r="B3" s="0" t="s">
        <v>128</v>
      </c>
      <c r="C3" s="0" t="s">
        <v>88</v>
      </c>
      <c r="D3" s="0" t="s">
        <v>129</v>
      </c>
      <c r="E3" s="0" t="s">
        <v>130</v>
      </c>
      <c r="F3" s="0" t="s">
        <v>90</v>
      </c>
      <c r="G3" s="0" t="s">
        <v>24</v>
      </c>
      <c r="H3" s="0" t="s">
        <v>90</v>
      </c>
      <c r="I3" s="0" t="s">
        <v>90</v>
      </c>
      <c r="J3" s="0" t="s">
        <v>131</v>
      </c>
      <c r="K3" s="0" t="s">
        <v>26</v>
      </c>
      <c r="L3" s="0" t="s">
        <v>100</v>
      </c>
      <c r="M3" s="0" t="s">
        <v>119</v>
      </c>
      <c r="N3" s="0" t="s">
        <v>120</v>
      </c>
      <c r="O3" s="0" t="s">
        <v>121</v>
      </c>
      <c r="P3" s="0" t="s">
        <v>122</v>
      </c>
      <c r="Q3" s="0" t="s">
        <v>123</v>
      </c>
    </row>
    <row r="4">
      <c r="A4" s="0" t="s">
        <v>19</v>
      </c>
      <c r="B4" s="0" t="s">
        <v>155</v>
      </c>
      <c r="C4" s="0" t="s">
        <v>88</v>
      </c>
      <c r="D4" s="0" t="s">
        <v>156</v>
      </c>
      <c r="E4" s="0" t="s">
        <v>157</v>
      </c>
      <c r="F4" s="0" t="s">
        <v>90</v>
      </c>
      <c r="G4" s="0" t="s">
        <v>28</v>
      </c>
      <c r="H4" s="0" t="s">
        <v>90</v>
      </c>
      <c r="I4" s="0" t="s">
        <v>90</v>
      </c>
      <c r="J4" s="0" t="s">
        <v>158</v>
      </c>
      <c r="K4" s="0" t="s">
        <v>30</v>
      </c>
      <c r="L4" s="0" t="s">
        <v>100</v>
      </c>
      <c r="M4" s="0" t="s">
        <v>148</v>
      </c>
      <c r="N4" s="0" t="s">
        <v>149</v>
      </c>
      <c r="O4" s="0" t="s">
        <v>150</v>
      </c>
      <c r="P4" s="0" t="s">
        <v>151</v>
      </c>
      <c r="Q4" s="0" t="s">
        <v>152</v>
      </c>
    </row>
    <row r="5">
      <c r="A5" s="0" t="s">
        <v>19</v>
      </c>
      <c r="B5" s="0" t="s">
        <v>180</v>
      </c>
      <c r="C5" s="0" t="s">
        <v>88</v>
      </c>
      <c r="D5" s="0" t="s">
        <v>181</v>
      </c>
      <c r="E5" s="0" t="s">
        <v>182</v>
      </c>
      <c r="F5" s="0" t="s">
        <v>90</v>
      </c>
      <c r="G5" s="0" t="s">
        <v>28</v>
      </c>
      <c r="H5" s="0" t="s">
        <v>90</v>
      </c>
      <c r="I5" s="0" t="s">
        <v>90</v>
      </c>
      <c r="J5" s="0" t="s">
        <v>183</v>
      </c>
      <c r="K5" s="0" t="s">
        <v>30</v>
      </c>
      <c r="L5" s="0" t="s">
        <v>100</v>
      </c>
      <c r="M5" s="0" t="s">
        <v>148</v>
      </c>
      <c r="N5" s="0" t="s">
        <v>149</v>
      </c>
      <c r="O5" s="0" t="s">
        <v>150</v>
      </c>
      <c r="P5" s="0" t="s">
        <v>151</v>
      </c>
      <c r="Q5" s="0" t="s">
        <v>152</v>
      </c>
    </row>
    <row r="6">
      <c r="A6" s="0" t="s">
        <v>19</v>
      </c>
      <c r="B6" s="0" t="s">
        <v>207</v>
      </c>
      <c r="C6" s="0" t="s">
        <v>88</v>
      </c>
      <c r="D6" s="0" t="s">
        <v>208</v>
      </c>
      <c r="E6" s="0" t="s">
        <v>209</v>
      </c>
      <c r="F6" s="0" t="s">
        <v>90</v>
      </c>
      <c r="G6" s="0" t="s">
        <v>32</v>
      </c>
      <c r="H6" s="0" t="s">
        <v>90</v>
      </c>
      <c r="I6" s="0" t="s">
        <v>90</v>
      </c>
      <c r="J6" s="0" t="s">
        <v>210</v>
      </c>
      <c r="K6" s="0" t="s">
        <v>34</v>
      </c>
      <c r="L6" s="0" t="s">
        <v>100</v>
      </c>
      <c r="M6" s="0" t="s">
        <v>175</v>
      </c>
      <c r="N6" s="0" t="s">
        <v>83</v>
      </c>
      <c r="O6" s="0" t="s">
        <v>84</v>
      </c>
      <c r="P6" s="0" t="s">
        <v>176</v>
      </c>
      <c r="Q6" s="0" t="s">
        <v>177</v>
      </c>
    </row>
    <row r="7">
      <c r="A7" s="0" t="s">
        <v>19</v>
      </c>
      <c r="B7" s="0" t="s">
        <v>225</v>
      </c>
      <c r="C7" s="0" t="s">
        <v>88</v>
      </c>
      <c r="D7" s="0" t="s">
        <v>226</v>
      </c>
      <c r="E7" s="0" t="s">
        <v>227</v>
      </c>
      <c r="F7" s="0" t="s">
        <v>90</v>
      </c>
      <c r="G7" s="0" t="s">
        <v>35</v>
      </c>
      <c r="H7" s="0" t="s">
        <v>90</v>
      </c>
      <c r="I7" s="0" t="s">
        <v>90</v>
      </c>
      <c r="J7" s="0" t="s">
        <v>228</v>
      </c>
      <c r="K7" s="0" t="s">
        <v>37</v>
      </c>
      <c r="L7" s="0" t="s">
        <v>100</v>
      </c>
      <c r="M7" s="0" t="s">
        <v>200</v>
      </c>
      <c r="N7" s="0" t="s">
        <v>120</v>
      </c>
      <c r="O7" s="0" t="s">
        <v>121</v>
      </c>
      <c r="P7" s="0" t="s">
        <v>201</v>
      </c>
      <c r="Q7" s="0" t="s">
        <v>202</v>
      </c>
    </row>
    <row r="8">
      <c r="A8" s="0" t="s">
        <v>39</v>
      </c>
      <c r="B8" s="0" t="s">
        <v>238</v>
      </c>
      <c r="C8" s="0" t="s">
        <v>88</v>
      </c>
      <c r="D8" s="0" t="s">
        <v>239</v>
      </c>
      <c r="E8" s="0" t="s">
        <v>240</v>
      </c>
      <c r="F8" s="0" t="s">
        <v>90</v>
      </c>
      <c r="G8" s="0" t="s">
        <v>40</v>
      </c>
      <c r="H8" s="0" t="s">
        <v>90</v>
      </c>
      <c r="I8" s="0" t="s">
        <v>90</v>
      </c>
      <c r="J8" s="0" t="s">
        <v>241</v>
      </c>
      <c r="K8" s="0" t="s">
        <v>42</v>
      </c>
      <c r="L8" s="0" t="s">
        <v>100</v>
      </c>
      <c r="M8" s="0" t="s">
        <v>82</v>
      </c>
      <c r="N8" s="0" t="s">
        <v>83</v>
      </c>
      <c r="O8" s="0" t="s">
        <v>84</v>
      </c>
      <c r="P8" s="0" t="s">
        <v>234</v>
      </c>
      <c r="Q8" s="0" t="s">
        <v>235</v>
      </c>
    </row>
    <row r="9">
      <c r="A9" s="0" t="s">
        <v>39</v>
      </c>
      <c r="B9" s="0" t="s">
        <v>262</v>
      </c>
      <c r="C9" s="0" t="s">
        <v>88</v>
      </c>
      <c r="D9" s="0" t="s">
        <v>263</v>
      </c>
      <c r="E9" s="0" t="s">
        <v>264</v>
      </c>
      <c r="F9" s="0" t="s">
        <v>90</v>
      </c>
      <c r="G9" s="0" t="s">
        <v>43</v>
      </c>
      <c r="H9" s="0" t="s">
        <v>90</v>
      </c>
      <c r="I9" s="0" t="s">
        <v>90</v>
      </c>
      <c r="J9" s="0" t="s">
        <v>265</v>
      </c>
      <c r="K9" s="0" t="s">
        <v>45</v>
      </c>
      <c r="L9" s="0" t="s">
        <v>100</v>
      </c>
      <c r="M9" s="0" t="s">
        <v>119</v>
      </c>
      <c r="N9" s="0" t="s">
        <v>120</v>
      </c>
      <c r="O9" s="0" t="s">
        <v>121</v>
      </c>
      <c r="P9" s="0" t="s">
        <v>255</v>
      </c>
      <c r="Q9" s="0" t="s">
        <v>256</v>
      </c>
    </row>
    <row r="10">
      <c r="A10" s="0" t="s">
        <v>39</v>
      </c>
      <c r="B10" s="0" t="s">
        <v>286</v>
      </c>
      <c r="C10" s="0" t="s">
        <v>88</v>
      </c>
      <c r="D10" s="0" t="s">
        <v>287</v>
      </c>
      <c r="E10" s="0" t="s">
        <v>288</v>
      </c>
      <c r="F10" s="0" t="s">
        <v>90</v>
      </c>
      <c r="G10" s="0" t="s">
        <v>46</v>
      </c>
      <c r="H10" s="0" t="s">
        <v>90</v>
      </c>
      <c r="I10" s="0" t="s">
        <v>90</v>
      </c>
      <c r="J10" s="0" t="s">
        <v>289</v>
      </c>
      <c r="K10" s="0" t="s">
        <v>48</v>
      </c>
      <c r="L10" s="0" t="s">
        <v>100</v>
      </c>
      <c r="M10" s="0" t="s">
        <v>148</v>
      </c>
      <c r="N10" s="0" t="s">
        <v>149</v>
      </c>
      <c r="O10" s="0" t="s">
        <v>150</v>
      </c>
      <c r="P10" s="0" t="s">
        <v>279</v>
      </c>
      <c r="Q10" s="0" t="s">
        <v>280</v>
      </c>
    </row>
    <row r="11">
      <c r="A11" s="0" t="s">
        <v>39</v>
      </c>
      <c r="B11" s="0" t="s">
        <v>310</v>
      </c>
      <c r="C11" s="0" t="s">
        <v>88</v>
      </c>
      <c r="D11" s="0" t="s">
        <v>311</v>
      </c>
      <c r="E11" s="0" t="s">
        <v>312</v>
      </c>
      <c r="F11" s="0" t="s">
        <v>90</v>
      </c>
      <c r="G11" s="0" t="s">
        <v>49</v>
      </c>
      <c r="H11" s="0" t="s">
        <v>90</v>
      </c>
      <c r="I11" s="0" t="s">
        <v>90</v>
      </c>
      <c r="J11" s="0" t="s">
        <v>313</v>
      </c>
      <c r="K11" s="0" t="s">
        <v>51</v>
      </c>
      <c r="L11" s="0" t="s">
        <v>100</v>
      </c>
      <c r="M11" s="0" t="s">
        <v>175</v>
      </c>
      <c r="N11" s="0" t="s">
        <v>83</v>
      </c>
      <c r="O11" s="0" t="s">
        <v>84</v>
      </c>
      <c r="P11" s="0" t="s">
        <v>303</v>
      </c>
      <c r="Q11" s="0" t="s">
        <v>304</v>
      </c>
    </row>
    <row r="12">
      <c r="A12" s="0" t="s">
        <v>39</v>
      </c>
      <c r="B12" s="0" t="s">
        <v>334</v>
      </c>
      <c r="C12" s="0" t="s">
        <v>88</v>
      </c>
      <c r="D12" s="0" t="s">
        <v>335</v>
      </c>
      <c r="E12" s="0" t="s">
        <v>336</v>
      </c>
      <c r="F12" s="0" t="s">
        <v>90</v>
      </c>
      <c r="G12" s="0" t="s">
        <v>52</v>
      </c>
      <c r="H12" s="0" t="s">
        <v>90</v>
      </c>
      <c r="I12" s="0" t="s">
        <v>90</v>
      </c>
      <c r="J12" s="0" t="s">
        <v>337</v>
      </c>
      <c r="K12" s="0" t="s">
        <v>54</v>
      </c>
      <c r="L12" s="0" t="s">
        <v>100</v>
      </c>
      <c r="M12" s="0" t="s">
        <v>200</v>
      </c>
      <c r="N12" s="0" t="s">
        <v>120</v>
      </c>
      <c r="O12" s="0" t="s">
        <v>121</v>
      </c>
      <c r="P12" s="0" t="s">
        <v>327</v>
      </c>
      <c r="Q12" s="0" t="s">
        <v>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Ruler="1" showOutlineSymbols="1" defaultGridColor="1" colorId="64" zoomScale="100" workbookViewId="0"/>
  </sheetViews>
  <sheetFormatPr defaultColWidth="8.43" defaultRowHeight="15"/>
  <cols>
    <col min="1" max="1" width="25.35" bestFit="1" customWidth="1"/>
    <col min="2" max="2" width="23.25" bestFit="1" customWidth="1"/>
    <col min="3" max="3" width="8.850000000000001" bestFit="1" customWidth="1"/>
    <col min="4" max="4" width="39.15" bestFit="1" customWidth="1"/>
    <col min="5" max="5" width="6.6000000000000005" bestFit="1" customWidth="1"/>
    <col min="6" max="6" width="7.3500000000000005" bestFit="1" customWidth="1"/>
    <col min="7" max="7" width="38.85" bestFit="1" customWidth="1"/>
    <col min="8" max="8" width="8.1" bestFit="1" customWidth="1"/>
    <col min="9" max="9" width="9.450000000000001" bestFit="1" customWidth="1"/>
    <col min="10" max="10" width="33.6" bestFit="1" customWidth="1"/>
    <col min="11" max="11" width="7.65" bestFit="1" customWidth="1"/>
  </cols>
  <sheetData>
    <row r="1">
      <c r="A1" s="0" t="s">
        <v>6</v>
      </c>
      <c r="B1" s="0" t="s">
        <v>67</v>
      </c>
      <c r="C1" s="0" t="s">
        <v>68</v>
      </c>
      <c r="D1" s="0" t="s">
        <v>69</v>
      </c>
      <c r="E1" s="0" t="s">
        <v>8</v>
      </c>
      <c r="F1" s="0" t="s">
        <v>70</v>
      </c>
      <c r="G1" s="0" t="s">
        <v>7</v>
      </c>
      <c r="H1" s="0" t="s">
        <v>9</v>
      </c>
      <c r="I1" s="0" t="s">
        <v>71</v>
      </c>
      <c r="J1" s="0" t="s">
        <v>72</v>
      </c>
      <c r="K1" s="0" t="s">
        <v>10</v>
      </c>
    </row>
    <row r="2">
      <c r="A2" s="0" t="s">
        <v>19</v>
      </c>
      <c r="B2" s="0" t="s">
        <v>101</v>
      </c>
      <c r="C2" s="0" t="s">
        <v>88</v>
      </c>
      <c r="D2" s="0" t="s">
        <v>78</v>
      </c>
      <c r="E2" s="0" t="s">
        <v>98</v>
      </c>
      <c r="F2" s="0" t="s">
        <v>98</v>
      </c>
      <c r="G2" s="0" t="s">
        <v>20</v>
      </c>
      <c r="H2" s="0" t="s">
        <v>79</v>
      </c>
      <c r="I2" s="0" t="s">
        <v>79</v>
      </c>
      <c r="J2" s="0" t="s">
        <v>102</v>
      </c>
      <c r="K2" s="0" t="s">
        <v>23</v>
      </c>
    </row>
    <row r="3">
      <c r="A3" s="0" t="s">
        <v>19</v>
      </c>
      <c r="B3" s="0" t="s">
        <v>132</v>
      </c>
      <c r="C3" s="0" t="s">
        <v>88</v>
      </c>
      <c r="D3" s="0" t="s">
        <v>116</v>
      </c>
      <c r="E3" s="0" t="s">
        <v>130</v>
      </c>
      <c r="F3" s="0" t="s">
        <v>130</v>
      </c>
      <c r="G3" s="0" t="s">
        <v>24</v>
      </c>
      <c r="H3" s="0" t="s">
        <v>79</v>
      </c>
      <c r="I3" s="0" t="s">
        <v>79</v>
      </c>
      <c r="J3" s="0" t="s">
        <v>133</v>
      </c>
      <c r="K3" s="0" t="s">
        <v>27</v>
      </c>
    </row>
    <row r="4">
      <c r="A4" s="0" t="s">
        <v>19</v>
      </c>
      <c r="B4" s="0" t="s">
        <v>159</v>
      </c>
      <c r="C4" s="0" t="s">
        <v>88</v>
      </c>
      <c r="D4" s="0" t="s">
        <v>145</v>
      </c>
      <c r="E4" s="0" t="s">
        <v>157</v>
      </c>
      <c r="F4" s="0" t="s">
        <v>157</v>
      </c>
      <c r="G4" s="0" t="s">
        <v>28</v>
      </c>
      <c r="H4" s="0" t="s">
        <v>79</v>
      </c>
      <c r="I4" s="0" t="s">
        <v>79</v>
      </c>
      <c r="J4" s="0" t="s">
        <v>160</v>
      </c>
      <c r="K4" s="0" t="s">
        <v>31</v>
      </c>
    </row>
    <row r="5">
      <c r="A5" s="0" t="s">
        <v>19</v>
      </c>
      <c r="B5" s="0" t="s">
        <v>184</v>
      </c>
      <c r="C5" s="0" t="s">
        <v>88</v>
      </c>
      <c r="D5" s="0" t="s">
        <v>172</v>
      </c>
      <c r="E5" s="0" t="s">
        <v>182</v>
      </c>
      <c r="F5" s="0" t="s">
        <v>182</v>
      </c>
      <c r="G5" s="0" t="s">
        <v>32</v>
      </c>
      <c r="H5" s="0" t="s">
        <v>79</v>
      </c>
      <c r="I5" s="0" t="s">
        <v>79</v>
      </c>
      <c r="J5" s="0" t="s">
        <v>185</v>
      </c>
      <c r="K5" s="0" t="s">
        <v>31</v>
      </c>
    </row>
    <row r="6">
      <c r="A6" s="0" t="s">
        <v>19</v>
      </c>
      <c r="B6" s="0" t="s">
        <v>211</v>
      </c>
      <c r="C6" s="0" t="s">
        <v>88</v>
      </c>
      <c r="D6" s="0" t="s">
        <v>197</v>
      </c>
      <c r="E6" s="0" t="s">
        <v>209</v>
      </c>
      <c r="F6" s="0" t="s">
        <v>209</v>
      </c>
      <c r="G6" s="0" t="s">
        <v>35</v>
      </c>
      <c r="H6" s="0" t="s">
        <v>79</v>
      </c>
      <c r="I6" s="0" t="s">
        <v>79</v>
      </c>
      <c r="J6" s="0" t="s">
        <v>212</v>
      </c>
      <c r="K6" s="0" t="s">
        <v>38</v>
      </c>
    </row>
    <row r="7">
      <c r="A7" s="0" t="s">
        <v>39</v>
      </c>
      <c r="B7" s="0" t="s">
        <v>242</v>
      </c>
      <c r="C7" s="0" t="s">
        <v>88</v>
      </c>
      <c r="D7" s="0" t="s">
        <v>232</v>
      </c>
      <c r="E7" s="0" t="s">
        <v>240</v>
      </c>
      <c r="F7" s="0" t="s">
        <v>240</v>
      </c>
      <c r="G7" s="0" t="s">
        <v>40</v>
      </c>
      <c r="H7" s="0" t="s">
        <v>79</v>
      </c>
      <c r="I7" s="0" t="s">
        <v>79</v>
      </c>
      <c r="J7" s="0" t="s">
        <v>243</v>
      </c>
      <c r="K7" s="0" t="s">
        <v>23</v>
      </c>
    </row>
    <row r="8">
      <c r="A8" s="0" t="s">
        <v>39</v>
      </c>
      <c r="B8" s="0" t="s">
        <v>266</v>
      </c>
      <c r="C8" s="0" t="s">
        <v>88</v>
      </c>
      <c r="D8" s="0" t="s">
        <v>253</v>
      </c>
      <c r="E8" s="0" t="s">
        <v>264</v>
      </c>
      <c r="F8" s="0" t="s">
        <v>264</v>
      </c>
      <c r="G8" s="0" t="s">
        <v>43</v>
      </c>
      <c r="H8" s="0" t="s">
        <v>79</v>
      </c>
      <c r="I8" s="0" t="s">
        <v>79</v>
      </c>
      <c r="J8" s="0" t="s">
        <v>267</v>
      </c>
      <c r="K8" s="0" t="s">
        <v>27</v>
      </c>
    </row>
    <row r="9">
      <c r="A9" s="0" t="s">
        <v>39</v>
      </c>
      <c r="B9" s="0" t="s">
        <v>290</v>
      </c>
      <c r="C9" s="0" t="s">
        <v>88</v>
      </c>
      <c r="D9" s="0" t="s">
        <v>277</v>
      </c>
      <c r="E9" s="0" t="s">
        <v>288</v>
      </c>
      <c r="F9" s="0" t="s">
        <v>288</v>
      </c>
      <c r="G9" s="0" t="s">
        <v>46</v>
      </c>
      <c r="H9" s="0" t="s">
        <v>79</v>
      </c>
      <c r="I9" s="0" t="s">
        <v>79</v>
      </c>
      <c r="J9" s="0" t="s">
        <v>291</v>
      </c>
      <c r="K9" s="0" t="s">
        <v>31</v>
      </c>
    </row>
    <row r="10">
      <c r="A10" s="0" t="s">
        <v>39</v>
      </c>
      <c r="B10" s="0" t="s">
        <v>314</v>
      </c>
      <c r="C10" s="0" t="s">
        <v>88</v>
      </c>
      <c r="D10" s="0" t="s">
        <v>301</v>
      </c>
      <c r="E10" s="0" t="s">
        <v>312</v>
      </c>
      <c r="F10" s="0" t="s">
        <v>312</v>
      </c>
      <c r="G10" s="0" t="s">
        <v>49</v>
      </c>
      <c r="H10" s="0" t="s">
        <v>79</v>
      </c>
      <c r="I10" s="0" t="s">
        <v>79</v>
      </c>
      <c r="J10" s="0" t="s">
        <v>315</v>
      </c>
      <c r="K10" s="0" t="s">
        <v>38</v>
      </c>
    </row>
    <row r="11">
      <c r="A11" s="0" t="s">
        <v>39</v>
      </c>
      <c r="B11" s="0" t="s">
        <v>338</v>
      </c>
      <c r="C11" s="0" t="s">
        <v>88</v>
      </c>
      <c r="D11" s="0" t="s">
        <v>325</v>
      </c>
      <c r="E11" s="0" t="s">
        <v>336</v>
      </c>
      <c r="F11" s="0" t="s">
        <v>336</v>
      </c>
      <c r="G11" s="0" t="s">
        <v>52</v>
      </c>
      <c r="H11" s="0" t="s">
        <v>79</v>
      </c>
      <c r="I11" s="0" t="s">
        <v>79</v>
      </c>
      <c r="J11" s="0" t="s">
        <v>339</v>
      </c>
      <c r="K11" s="0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showRuler="1" showOutlineSymbols="1" defaultGridColor="1" colorId="64" zoomScale="100" workbookViewId="0"/>
  </sheetViews>
  <sheetFormatPr defaultColWidth="8.43" defaultRowHeight="15"/>
  <cols>
    <col min="1" max="1" width="25.35" bestFit="1" customWidth="1"/>
    <col min="2" max="2" width="23.25" bestFit="1" customWidth="1"/>
    <col min="3" max="3" width="8.850000000000001" bestFit="1" customWidth="1"/>
    <col min="4" max="4" width="38.85" bestFit="1" customWidth="1"/>
    <col min="5" max="5" width="6.6000000000000005" bestFit="1" customWidth="1"/>
    <col min="6" max="6" width="7.3500000000000005" bestFit="1" customWidth="1"/>
    <col min="7" max="7" width="39.00000000000001" bestFit="1" customWidth="1"/>
    <col min="8" max="8" width="8.1" bestFit="1" customWidth="1"/>
    <col min="9" max="9" width="9.450000000000001" bestFit="1" customWidth="1"/>
    <col min="10" max="10" width="33.9" bestFit="1" customWidth="1"/>
    <col min="11" max="11" width="109.65" bestFit="1" customWidth="1"/>
    <col min="12" max="12" width="21.900000000000002" bestFit="1" customWidth="1"/>
  </cols>
  <sheetData>
    <row r="1">
      <c r="A1" s="0" t="s">
        <v>6</v>
      </c>
      <c r="B1" s="0" t="s">
        <v>67</v>
      </c>
      <c r="C1" s="0" t="s">
        <v>68</v>
      </c>
      <c r="D1" s="0" t="s">
        <v>69</v>
      </c>
      <c r="E1" s="0" t="s">
        <v>8</v>
      </c>
      <c r="F1" s="0" t="s">
        <v>70</v>
      </c>
      <c r="G1" s="0" t="s">
        <v>7</v>
      </c>
      <c r="H1" s="0" t="s">
        <v>9</v>
      </c>
      <c r="I1" s="0" t="s">
        <v>71</v>
      </c>
      <c r="J1" s="0" t="s">
        <v>72</v>
      </c>
      <c r="K1" s="0" t="s">
        <v>10</v>
      </c>
      <c r="L1" s="0" t="s">
        <v>348</v>
      </c>
    </row>
    <row r="2">
      <c r="A2" s="0" t="s">
        <v>19</v>
      </c>
      <c r="B2" s="0" t="s">
        <v>104</v>
      </c>
      <c r="C2" s="0" t="s">
        <v>77</v>
      </c>
      <c r="D2" s="0" t="s">
        <v>105</v>
      </c>
      <c r="E2" s="0" t="s">
        <v>106</v>
      </c>
      <c r="F2" s="0" t="s">
        <v>106</v>
      </c>
      <c r="G2" s="0" t="s">
        <v>107</v>
      </c>
      <c r="H2" s="0" t="s">
        <v>79</v>
      </c>
      <c r="I2" s="0" t="s">
        <v>79</v>
      </c>
      <c r="J2" s="0" t="s">
        <v>108</v>
      </c>
      <c r="K2" s="0" t="s">
        <v>109</v>
      </c>
      <c r="L2" s="0" t="s">
        <v>106</v>
      </c>
    </row>
    <row r="3">
      <c r="A3" s="0" t="s">
        <v>19</v>
      </c>
      <c r="B3" s="0" t="s">
        <v>114</v>
      </c>
      <c r="C3" s="0" t="s">
        <v>88</v>
      </c>
      <c r="D3" s="0" t="s">
        <v>105</v>
      </c>
      <c r="E3" s="0" t="s">
        <v>106</v>
      </c>
      <c r="F3" s="0" t="s">
        <v>106</v>
      </c>
      <c r="G3" s="0" t="s">
        <v>107</v>
      </c>
      <c r="H3" s="0" t="s">
        <v>79</v>
      </c>
      <c r="I3" s="0" t="s">
        <v>79</v>
      </c>
      <c r="J3" s="0" t="s">
        <v>113</v>
      </c>
      <c r="K3" s="0" t="s">
        <v>92</v>
      </c>
      <c r="L3" s="0" t="s">
        <v>106</v>
      </c>
    </row>
    <row r="4">
      <c r="A4" s="0" t="s">
        <v>19</v>
      </c>
      <c r="B4" s="0" t="s">
        <v>134</v>
      </c>
      <c r="C4" s="0" t="s">
        <v>77</v>
      </c>
      <c r="D4" s="0" t="s">
        <v>135</v>
      </c>
      <c r="E4" s="0" t="s">
        <v>136</v>
      </c>
      <c r="F4" s="0" t="s">
        <v>136</v>
      </c>
      <c r="G4" s="0" t="s">
        <v>137</v>
      </c>
      <c r="H4" s="0" t="s">
        <v>79</v>
      </c>
      <c r="I4" s="0" t="s">
        <v>79</v>
      </c>
      <c r="J4" s="0" t="s">
        <v>138</v>
      </c>
      <c r="K4" s="0" t="s">
        <v>139</v>
      </c>
      <c r="L4" s="0" t="s">
        <v>136</v>
      </c>
    </row>
    <row r="5">
      <c r="A5" s="0" t="s">
        <v>19</v>
      </c>
      <c r="B5" s="0" t="s">
        <v>143</v>
      </c>
      <c r="C5" s="0" t="s">
        <v>88</v>
      </c>
      <c r="D5" s="0" t="s">
        <v>135</v>
      </c>
      <c r="E5" s="0" t="s">
        <v>136</v>
      </c>
      <c r="F5" s="0" t="s">
        <v>136</v>
      </c>
      <c r="G5" s="0" t="s">
        <v>137</v>
      </c>
      <c r="H5" s="0" t="s">
        <v>79</v>
      </c>
      <c r="I5" s="0" t="s">
        <v>79</v>
      </c>
      <c r="J5" s="0" t="s">
        <v>142</v>
      </c>
      <c r="K5" s="0" t="s">
        <v>92</v>
      </c>
      <c r="L5" s="0" t="s">
        <v>136</v>
      </c>
    </row>
    <row r="6">
      <c r="A6" s="0" t="s">
        <v>19</v>
      </c>
      <c r="B6" s="0" t="s">
        <v>161</v>
      </c>
      <c r="C6" s="0" t="s">
        <v>77</v>
      </c>
      <c r="D6" s="0" t="s">
        <v>162</v>
      </c>
      <c r="E6" s="0" t="s">
        <v>163</v>
      </c>
      <c r="F6" s="0" t="s">
        <v>163</v>
      </c>
      <c r="G6" s="0" t="s">
        <v>164</v>
      </c>
      <c r="H6" s="0" t="s">
        <v>79</v>
      </c>
      <c r="I6" s="0" t="s">
        <v>79</v>
      </c>
      <c r="J6" s="0" t="s">
        <v>165</v>
      </c>
      <c r="K6" s="0" t="s">
        <v>166</v>
      </c>
      <c r="L6" s="0" t="s">
        <v>163</v>
      </c>
    </row>
    <row r="7">
      <c r="A7" s="0" t="s">
        <v>19</v>
      </c>
      <c r="B7" s="0" t="s">
        <v>170</v>
      </c>
      <c r="C7" s="0" t="s">
        <v>88</v>
      </c>
      <c r="D7" s="0" t="s">
        <v>162</v>
      </c>
      <c r="E7" s="0" t="s">
        <v>163</v>
      </c>
      <c r="F7" s="0" t="s">
        <v>163</v>
      </c>
      <c r="G7" s="0" t="s">
        <v>164</v>
      </c>
      <c r="H7" s="0" t="s">
        <v>79</v>
      </c>
      <c r="I7" s="0" t="s">
        <v>79</v>
      </c>
      <c r="J7" s="0" t="s">
        <v>169</v>
      </c>
      <c r="K7" s="0" t="s">
        <v>92</v>
      </c>
      <c r="L7" s="0" t="s">
        <v>163</v>
      </c>
    </row>
    <row r="8">
      <c r="A8" s="0" t="s">
        <v>19</v>
      </c>
      <c r="B8" s="0" t="s">
        <v>186</v>
      </c>
      <c r="C8" s="0" t="s">
        <v>77</v>
      </c>
      <c r="D8" s="0" t="s">
        <v>187</v>
      </c>
      <c r="E8" s="0" t="s">
        <v>188</v>
      </c>
      <c r="F8" s="0" t="s">
        <v>188</v>
      </c>
      <c r="G8" s="0" t="s">
        <v>189</v>
      </c>
      <c r="H8" s="0" t="s">
        <v>79</v>
      </c>
      <c r="I8" s="0" t="s">
        <v>79</v>
      </c>
      <c r="J8" s="0" t="s">
        <v>190</v>
      </c>
      <c r="K8" s="0" t="s">
        <v>191</v>
      </c>
      <c r="L8" s="0" t="s">
        <v>188</v>
      </c>
    </row>
    <row r="9">
      <c r="A9" s="0" t="s">
        <v>19</v>
      </c>
      <c r="B9" s="0" t="s">
        <v>195</v>
      </c>
      <c r="C9" s="0" t="s">
        <v>88</v>
      </c>
      <c r="D9" s="0" t="s">
        <v>187</v>
      </c>
      <c r="E9" s="0" t="s">
        <v>188</v>
      </c>
      <c r="F9" s="0" t="s">
        <v>188</v>
      </c>
      <c r="G9" s="0" t="s">
        <v>189</v>
      </c>
      <c r="H9" s="0" t="s">
        <v>79</v>
      </c>
      <c r="I9" s="0" t="s">
        <v>79</v>
      </c>
      <c r="J9" s="0" t="s">
        <v>194</v>
      </c>
      <c r="K9" s="0" t="s">
        <v>92</v>
      </c>
      <c r="L9" s="0" t="s">
        <v>188</v>
      </c>
    </row>
    <row r="10">
      <c r="A10" s="0" t="s">
        <v>19</v>
      </c>
      <c r="B10" s="0" t="s">
        <v>213</v>
      </c>
      <c r="C10" s="0" t="s">
        <v>77</v>
      </c>
      <c r="D10" s="0" t="s">
        <v>214</v>
      </c>
      <c r="E10" s="0" t="s">
        <v>215</v>
      </c>
      <c r="F10" s="0" t="s">
        <v>215</v>
      </c>
      <c r="G10" s="0" t="s">
        <v>216</v>
      </c>
      <c r="H10" s="0" t="s">
        <v>79</v>
      </c>
      <c r="I10" s="0" t="s">
        <v>79</v>
      </c>
      <c r="J10" s="0" t="s">
        <v>217</v>
      </c>
      <c r="K10" s="0" t="s">
        <v>218</v>
      </c>
      <c r="L10" s="0" t="s">
        <v>215</v>
      </c>
    </row>
    <row r="11">
      <c r="A11" s="0" t="s">
        <v>19</v>
      </c>
      <c r="B11" s="0" t="s">
        <v>222</v>
      </c>
      <c r="C11" s="0" t="s">
        <v>88</v>
      </c>
      <c r="D11" s="0" t="s">
        <v>214</v>
      </c>
      <c r="E11" s="0" t="s">
        <v>215</v>
      </c>
      <c r="F11" s="0" t="s">
        <v>215</v>
      </c>
      <c r="G11" s="0" t="s">
        <v>216</v>
      </c>
      <c r="H11" s="0" t="s">
        <v>79</v>
      </c>
      <c r="I11" s="0" t="s">
        <v>79</v>
      </c>
      <c r="J11" s="0" t="s">
        <v>221</v>
      </c>
      <c r="K11" s="0" t="s">
        <v>92</v>
      </c>
      <c r="L11" s="0" t="s">
        <v>215</v>
      </c>
    </row>
    <row r="12">
      <c r="A12" s="0" t="s">
        <v>39</v>
      </c>
      <c r="B12" s="0" t="s">
        <v>244</v>
      </c>
      <c r="C12" s="0" t="s">
        <v>77</v>
      </c>
      <c r="D12" s="0" t="s">
        <v>245</v>
      </c>
      <c r="E12" s="0" t="s">
        <v>106</v>
      </c>
      <c r="F12" s="0" t="s">
        <v>106</v>
      </c>
      <c r="G12" s="0" t="s">
        <v>246</v>
      </c>
      <c r="H12" s="0" t="s">
        <v>79</v>
      </c>
      <c r="I12" s="0" t="s">
        <v>79</v>
      </c>
      <c r="J12" s="0" t="s">
        <v>247</v>
      </c>
      <c r="K12" s="0" t="s">
        <v>248</v>
      </c>
      <c r="L12" s="0" t="s">
        <v>106</v>
      </c>
    </row>
    <row r="13">
      <c r="A13" s="0" t="s">
        <v>39</v>
      </c>
      <c r="B13" s="0" t="s">
        <v>251</v>
      </c>
      <c r="C13" s="0" t="s">
        <v>88</v>
      </c>
      <c r="D13" s="0" t="s">
        <v>245</v>
      </c>
      <c r="E13" s="0" t="s">
        <v>106</v>
      </c>
      <c r="F13" s="0" t="s">
        <v>106</v>
      </c>
      <c r="G13" s="0" t="s">
        <v>246</v>
      </c>
      <c r="H13" s="0" t="s">
        <v>79</v>
      </c>
      <c r="I13" s="0" t="s">
        <v>79</v>
      </c>
      <c r="J13" s="0" t="s">
        <v>113</v>
      </c>
      <c r="K13" s="0" t="s">
        <v>92</v>
      </c>
      <c r="L13" s="0" t="s">
        <v>106</v>
      </c>
    </row>
    <row r="14">
      <c r="A14" s="0" t="s">
        <v>39</v>
      </c>
      <c r="B14" s="0" t="s">
        <v>268</v>
      </c>
      <c r="C14" s="0" t="s">
        <v>77</v>
      </c>
      <c r="D14" s="0" t="s">
        <v>269</v>
      </c>
      <c r="E14" s="0" t="s">
        <v>136</v>
      </c>
      <c r="F14" s="0" t="s">
        <v>136</v>
      </c>
      <c r="G14" s="0" t="s">
        <v>270</v>
      </c>
      <c r="H14" s="0" t="s">
        <v>79</v>
      </c>
      <c r="I14" s="0" t="s">
        <v>79</v>
      </c>
      <c r="J14" s="0" t="s">
        <v>271</v>
      </c>
      <c r="K14" s="0" t="s">
        <v>272</v>
      </c>
      <c r="L14" s="0" t="s">
        <v>136</v>
      </c>
    </row>
    <row r="15">
      <c r="A15" s="0" t="s">
        <v>39</v>
      </c>
      <c r="B15" s="0" t="s">
        <v>275</v>
      </c>
      <c r="C15" s="0" t="s">
        <v>88</v>
      </c>
      <c r="D15" s="0" t="s">
        <v>269</v>
      </c>
      <c r="E15" s="0" t="s">
        <v>136</v>
      </c>
      <c r="F15" s="0" t="s">
        <v>136</v>
      </c>
      <c r="G15" s="0" t="s">
        <v>270</v>
      </c>
      <c r="H15" s="0" t="s">
        <v>79</v>
      </c>
      <c r="I15" s="0" t="s">
        <v>79</v>
      </c>
      <c r="J15" s="0" t="s">
        <v>142</v>
      </c>
      <c r="K15" s="0" t="s">
        <v>92</v>
      </c>
      <c r="L15" s="0" t="s">
        <v>136</v>
      </c>
    </row>
    <row r="16">
      <c r="A16" s="0" t="s">
        <v>39</v>
      </c>
      <c r="B16" s="0" t="s">
        <v>292</v>
      </c>
      <c r="C16" s="0" t="s">
        <v>77</v>
      </c>
      <c r="D16" s="0" t="s">
        <v>293</v>
      </c>
      <c r="E16" s="0" t="s">
        <v>163</v>
      </c>
      <c r="F16" s="0" t="s">
        <v>163</v>
      </c>
      <c r="G16" s="0" t="s">
        <v>294</v>
      </c>
      <c r="H16" s="0" t="s">
        <v>79</v>
      </c>
      <c r="I16" s="0" t="s">
        <v>79</v>
      </c>
      <c r="J16" s="0" t="s">
        <v>295</v>
      </c>
      <c r="K16" s="0" t="s">
        <v>296</v>
      </c>
      <c r="L16" s="0" t="s">
        <v>163</v>
      </c>
    </row>
    <row r="17">
      <c r="A17" s="0" t="s">
        <v>39</v>
      </c>
      <c r="B17" s="0" t="s">
        <v>299</v>
      </c>
      <c r="C17" s="0" t="s">
        <v>88</v>
      </c>
      <c r="D17" s="0" t="s">
        <v>293</v>
      </c>
      <c r="E17" s="0" t="s">
        <v>163</v>
      </c>
      <c r="F17" s="0" t="s">
        <v>163</v>
      </c>
      <c r="G17" s="0" t="s">
        <v>294</v>
      </c>
      <c r="H17" s="0" t="s">
        <v>79</v>
      </c>
      <c r="I17" s="0" t="s">
        <v>79</v>
      </c>
      <c r="J17" s="0" t="s">
        <v>169</v>
      </c>
      <c r="K17" s="0" t="s">
        <v>92</v>
      </c>
      <c r="L17" s="0" t="s">
        <v>163</v>
      </c>
    </row>
    <row r="18">
      <c r="A18" s="0" t="s">
        <v>39</v>
      </c>
      <c r="B18" s="0" t="s">
        <v>316</v>
      </c>
      <c r="C18" s="0" t="s">
        <v>77</v>
      </c>
      <c r="D18" s="0" t="s">
        <v>317</v>
      </c>
      <c r="E18" s="0" t="s">
        <v>188</v>
      </c>
      <c r="F18" s="0" t="s">
        <v>188</v>
      </c>
      <c r="G18" s="0" t="s">
        <v>318</v>
      </c>
      <c r="H18" s="0" t="s">
        <v>79</v>
      </c>
      <c r="I18" s="0" t="s">
        <v>79</v>
      </c>
      <c r="J18" s="0" t="s">
        <v>319</v>
      </c>
      <c r="K18" s="0" t="s">
        <v>320</v>
      </c>
      <c r="L18" s="0" t="s">
        <v>188</v>
      </c>
    </row>
    <row r="19">
      <c r="A19" s="0" t="s">
        <v>39</v>
      </c>
      <c r="B19" s="0" t="s">
        <v>323</v>
      </c>
      <c r="C19" s="0" t="s">
        <v>88</v>
      </c>
      <c r="D19" s="0" t="s">
        <v>317</v>
      </c>
      <c r="E19" s="0" t="s">
        <v>188</v>
      </c>
      <c r="F19" s="0" t="s">
        <v>188</v>
      </c>
      <c r="G19" s="0" t="s">
        <v>318</v>
      </c>
      <c r="H19" s="0" t="s">
        <v>79</v>
      </c>
      <c r="I19" s="0" t="s">
        <v>79</v>
      </c>
      <c r="J19" s="0" t="s">
        <v>194</v>
      </c>
      <c r="K19" s="0" t="s">
        <v>92</v>
      </c>
      <c r="L19" s="0" t="s">
        <v>188</v>
      </c>
    </row>
    <row r="20">
      <c r="A20" s="0" t="s">
        <v>39</v>
      </c>
      <c r="B20" s="0" t="s">
        <v>340</v>
      </c>
      <c r="C20" s="0" t="s">
        <v>77</v>
      </c>
      <c r="D20" s="0" t="s">
        <v>341</v>
      </c>
      <c r="E20" s="0" t="s">
        <v>215</v>
      </c>
      <c r="F20" s="0" t="s">
        <v>215</v>
      </c>
      <c r="G20" s="0" t="s">
        <v>342</v>
      </c>
      <c r="H20" s="0" t="s">
        <v>79</v>
      </c>
      <c r="I20" s="0" t="s">
        <v>79</v>
      </c>
      <c r="J20" s="0" t="s">
        <v>343</v>
      </c>
      <c r="K20" s="0" t="s">
        <v>344</v>
      </c>
      <c r="L20" s="0" t="s">
        <v>215</v>
      </c>
    </row>
    <row r="21">
      <c r="A21" s="0" t="s">
        <v>39</v>
      </c>
      <c r="B21" s="0" t="s">
        <v>347</v>
      </c>
      <c r="C21" s="0" t="s">
        <v>88</v>
      </c>
      <c r="D21" s="0" t="s">
        <v>341</v>
      </c>
      <c r="E21" s="0" t="s">
        <v>215</v>
      </c>
      <c r="F21" s="0" t="s">
        <v>215</v>
      </c>
      <c r="G21" s="0" t="s">
        <v>342</v>
      </c>
      <c r="H21" s="0" t="s">
        <v>79</v>
      </c>
      <c r="I21" s="0" t="s">
        <v>79</v>
      </c>
      <c r="J21" s="0" t="s">
        <v>221</v>
      </c>
      <c r="K21" s="0" t="s">
        <v>92</v>
      </c>
      <c r="L21" s="0" t="s">
        <v>215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2026-01-26T06:30:41Z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